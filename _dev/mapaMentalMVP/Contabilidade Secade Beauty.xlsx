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317" documentId="11_FE4855BF84DCCE436F107A399131F45B7AFB1D1F" xr6:coauthVersionLast="47" xr6:coauthVersionMax="47" xr10:uidLastSave="{99351AA2-0CC9-4423-B70F-F366C3848C44}"/>
  <bookViews>
    <workbookView xWindow="240" yWindow="105" windowWidth="14805" windowHeight="8010" firstSheet="1" activeTab="7" xr2:uid="{00000000-000D-0000-FFFF-FFFF00000000}"/>
  </bookViews>
  <sheets>
    <sheet name="Menu Dashboard" sheetId="1" r:id="rId1"/>
    <sheet name="Menu Rácios" sheetId="2" r:id="rId2"/>
    <sheet name="Lista de Inventários" sheetId="3" r:id="rId3"/>
    <sheet name="Mapa Depreciações" sheetId="4" r:id="rId4"/>
    <sheet name="Menu Financiamento" sheetId="5" r:id="rId5"/>
    <sheet name="Análise financeira" sheetId="6" r:id="rId6"/>
    <sheet name="Menu Recursos Humanos" sheetId="7" r:id="rId7"/>
    <sheet name="Custos Funcionários" sheetId="9" r:id="rId8"/>
    <sheet name="DMR - DRI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9" l="1"/>
  <c r="B8" i="9"/>
  <c r="D7" i="9"/>
  <c r="B7" i="9"/>
  <c r="D6" i="9"/>
  <c r="B6" i="9"/>
  <c r="D5" i="9"/>
  <c r="B5" i="9"/>
  <c r="D4" i="9"/>
  <c r="B4" i="9"/>
  <c r="D3" i="9"/>
  <c r="B3" i="9"/>
  <c r="B4" i="6"/>
  <c r="B3" i="5"/>
  <c r="F6" i="1"/>
  <c r="E2" i="1"/>
  <c r="D9" i="9" l="1"/>
  <c r="H9" i="9" s="1"/>
  <c r="H3" i="9"/>
  <c r="G3" i="9"/>
  <c r="F3" i="9"/>
  <c r="E3" i="9"/>
  <c r="H4" i="9"/>
  <c r="G4" i="9"/>
  <c r="F4" i="9"/>
  <c r="E4" i="9"/>
  <c r="H5" i="9"/>
  <c r="G5" i="9"/>
  <c r="F5" i="9"/>
  <c r="E5" i="9"/>
  <c r="H6" i="9"/>
  <c r="G6" i="9"/>
  <c r="F6" i="9"/>
  <c r="E6" i="9"/>
  <c r="H7" i="9"/>
  <c r="G7" i="9"/>
  <c r="F7" i="9"/>
  <c r="E7" i="9"/>
  <c r="H8" i="9"/>
  <c r="G8" i="9"/>
  <c r="F8" i="9"/>
  <c r="E8" i="9"/>
  <c r="E9" i="9" l="1"/>
  <c r="F9" i="9"/>
  <c r="F13" i="9" s="1"/>
  <c r="G9" i="9"/>
  <c r="F14" i="9" s="1"/>
  <c r="F12" i="9" l="1"/>
  <c r="I9" i="9"/>
</calcChain>
</file>

<file path=xl/sharedStrings.xml><?xml version="1.0" encoding="utf-8"?>
<sst xmlns="http://schemas.openxmlformats.org/spreadsheetml/2006/main" count="110" uniqueCount="94">
  <si>
    <t>Conta</t>
  </si>
  <si>
    <t>Descrição</t>
  </si>
  <si>
    <t>Débito</t>
  </si>
  <si>
    <t>Crédito</t>
  </si>
  <si>
    <t>Saldo Devedor</t>
  </si>
  <si>
    <t>Saldo Credor</t>
  </si>
  <si>
    <t>11</t>
  </si>
  <si>
    <t>Caixa</t>
  </si>
  <si>
    <t>Banco CTT</t>
  </si>
  <si>
    <t>Gastos</t>
  </si>
  <si>
    <t>Rendimentos</t>
  </si>
  <si>
    <t>RAI</t>
  </si>
  <si>
    <t>Fornecedores</t>
  </si>
  <si>
    <t>Clientes</t>
  </si>
  <si>
    <t>Financiamento</t>
  </si>
  <si>
    <t>Segurança Social</t>
  </si>
  <si>
    <t>IVA</t>
  </si>
  <si>
    <t>Balanço</t>
  </si>
  <si>
    <t>Janeiro</t>
  </si>
  <si>
    <t>Fevereiro</t>
  </si>
  <si>
    <t>Março</t>
  </si>
  <si>
    <t>Ativo não Corrente</t>
  </si>
  <si>
    <t>Ativo Corrente</t>
  </si>
  <si>
    <t>Capital Próprio</t>
  </si>
  <si>
    <t>Passivo não Corrente</t>
  </si>
  <si>
    <t>Passivo Corrente</t>
  </si>
  <si>
    <t>Rácios</t>
  </si>
  <si>
    <t>Feveireiro</t>
  </si>
  <si>
    <t xml:space="preserve">Liquidez Geral </t>
  </si>
  <si>
    <t>Fundo de Maneio</t>
  </si>
  <si>
    <t>Autonomia Financeira</t>
  </si>
  <si>
    <t>Endividamento</t>
  </si>
  <si>
    <t>Solvabilidade</t>
  </si>
  <si>
    <t>Lista de inventários</t>
  </si>
  <si>
    <t>Código do ativo</t>
  </si>
  <si>
    <t>Tipo de ativo</t>
  </si>
  <si>
    <t>Localização</t>
  </si>
  <si>
    <t>Data de Aquisição</t>
  </si>
  <si>
    <t>Valor de Aquisção</t>
  </si>
  <si>
    <t>Vida útil</t>
  </si>
  <si>
    <t>Data de ínicio de depreciação</t>
  </si>
  <si>
    <t>2026.00002</t>
  </si>
  <si>
    <t>Portátil Apple</t>
  </si>
  <si>
    <t>Equipamento administrativo</t>
  </si>
  <si>
    <t>Sede</t>
  </si>
  <si>
    <t>Carrinha</t>
  </si>
  <si>
    <t>Equipamento de transporte</t>
  </si>
  <si>
    <t>sede</t>
  </si>
  <si>
    <t>Investimemto</t>
  </si>
  <si>
    <t>Data da aquisição</t>
  </si>
  <si>
    <t>Inicio de utilização</t>
  </si>
  <si>
    <t>Valor de aquisição</t>
  </si>
  <si>
    <t>Valor depreciável inicial</t>
  </si>
  <si>
    <t>Depreciação acumulada</t>
  </si>
  <si>
    <t>Valor contabilístico</t>
  </si>
  <si>
    <t>Ativos fixos tangíveis</t>
  </si>
  <si>
    <t>Equipamentos de transporte</t>
  </si>
  <si>
    <t>2026-00004</t>
  </si>
  <si>
    <t xml:space="preserve"> Carrinha</t>
  </si>
  <si>
    <t>Sub-Total 434</t>
  </si>
  <si>
    <t>2026-00002</t>
  </si>
  <si>
    <t>Sub-Total 435</t>
  </si>
  <si>
    <t>Sub-Total 43</t>
  </si>
  <si>
    <t>Total</t>
  </si>
  <si>
    <t>Menu Financiamento</t>
  </si>
  <si>
    <t>Capital Inicial</t>
  </si>
  <si>
    <t>Capital Amortizado</t>
  </si>
  <si>
    <t>Capital em dívida</t>
  </si>
  <si>
    <t>Análise Financeira</t>
  </si>
  <si>
    <t>IRC</t>
  </si>
  <si>
    <t>Fórmula</t>
  </si>
  <si>
    <t>RAI * 20%</t>
  </si>
  <si>
    <t>Recursos Humanos</t>
  </si>
  <si>
    <t>Nome</t>
  </si>
  <si>
    <t>Vencimento Base</t>
  </si>
  <si>
    <t>Cassiana Tavares</t>
  </si>
  <si>
    <t>Delfina Benjamim</t>
  </si>
  <si>
    <t>Iracelma Joaquim</t>
  </si>
  <si>
    <t>Luís Chivela</t>
  </si>
  <si>
    <t>Sebenildes Cabamba</t>
  </si>
  <si>
    <t>Teresa Elisabeth</t>
  </si>
  <si>
    <t>Custos com os Funcionários</t>
  </si>
  <si>
    <t>remuneração</t>
  </si>
  <si>
    <t xml:space="preserve">SA </t>
  </si>
  <si>
    <t>n meses</t>
  </si>
  <si>
    <t>REMUNERAÇÃO</t>
  </si>
  <si>
    <t>IRS</t>
  </si>
  <si>
    <t>SS 11</t>
  </si>
  <si>
    <t>SS 23,75</t>
  </si>
  <si>
    <t>PAGAR AO PESSOAL</t>
  </si>
  <si>
    <t>TOTAL</t>
  </si>
  <si>
    <t>SS</t>
  </si>
  <si>
    <t>DMR</t>
  </si>
  <si>
    <t>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</si>
</sst>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 * #,##0.00_)\ &quot;€&quot;_ ;_ * \(#,##0.00\)\ &quot;€&quot;_ ;_ * &quot;-&quot;??_)\ &quot;€&quot;_ ;_ @_ "/>
  </numFmts>
  <fonts count="4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0" applyNumberFormat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44" fontId="0" fillId="3" borderId="2" xfId="0" applyNumberFormat="1" applyFill="1" applyBorder="1"/>
    <xf numFmtId="44" fontId="0" fillId="3" borderId="3" xfId="0" applyNumberFormat="1" applyFill="1" applyBorder="1"/>
    <xf numFmtId="44" fontId="0" fillId="3" borderId="4" xfId="0" applyNumberFormat="1" applyFill="1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44" fontId="0" fillId="0" borderId="5" xfId="0" applyNumberFormat="1" applyBorder="1"/>
    <xf numFmtId="0" fontId="0" fillId="0" borderId="5" xfId="0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4" fontId="0" fillId="0" borderId="2" xfId="0" applyNumberFormat="1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44" fontId="0" fillId="0" borderId="1" xfId="1" applyFont="1" applyBorder="1"/>
    <xf numFmtId="164" fontId="0" fillId="0" borderId="1" xfId="0" applyNumberFormat="1" applyBorder="1"/>
    <xf numFmtId="44" fontId="0" fillId="0" borderId="1" xfId="0" applyNumberFormat="1" applyBorder="1" applyAlignment="1">
      <alignment horizontal="left" vertical="top"/>
    </xf>
    <xf numFmtId="44" fontId="0" fillId="0" borderId="5" xfId="1" applyFont="1" applyBorder="1"/>
    <xf numFmtId="164" fontId="0" fillId="0" borderId="0" xfId="0" applyNumberFormat="1"/>
    <xf numFmtId="164" fontId="0" fillId="0" borderId="5" xfId="0" applyNumberFormat="1" applyBorder="1"/>
    <xf numFmtId="44" fontId="0" fillId="0" borderId="5" xfId="0" applyNumberFormat="1" applyBorder="1" applyAlignment="1">
      <alignment horizontal="left" vertical="top"/>
    </xf>
    <xf numFmtId="164" fontId="0" fillId="0" borderId="7" xfId="0" applyNumberFormat="1" applyBorder="1"/>
    <xf numFmtId="0" fontId="0" fillId="0" borderId="8" xfId="0" applyBorder="1"/>
    <xf numFmtId="44" fontId="0" fillId="0" borderId="4" xfId="1" applyFont="1" applyBorder="1"/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152400</xdr:rowOff>
    </xdr:from>
    <xdr:to>
      <xdr:col>7</xdr:col>
      <xdr:colOff>381000</xdr:colOff>
      <xdr:row>9</xdr:row>
      <xdr:rowOff>142875</xdr:rowOff>
    </xdr:to>
    <xdr:pic>
      <xdr:nvPicPr>
        <xdr:cNvPr id="2" name="">
          <a:extLst>
            <a:ext uri="{FF2B5EF4-FFF2-40B4-BE49-F238E27FC236}">
              <a16:creationId xmlns:a16="http://schemas.microsoft.com/office/drawing/2014/main" id="{EB0411F8-7BF6-CC98-E2E5-60D50BD6F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42900"/>
          <a:ext cx="4572000" cy="1514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104775</xdr:rowOff>
    </xdr:from>
    <xdr:to>
      <xdr:col>8</xdr:col>
      <xdr:colOff>9525</xdr:colOff>
      <xdr:row>27</xdr:row>
      <xdr:rowOff>180975</xdr:rowOff>
    </xdr:to>
    <xdr:pic>
      <xdr:nvPicPr>
        <xdr:cNvPr id="3" name="">
          <a:extLst>
            <a:ext uri="{FF2B5EF4-FFF2-40B4-BE49-F238E27FC236}">
              <a16:creationId xmlns:a16="http://schemas.microsoft.com/office/drawing/2014/main" id="{9A105038-4948-E7FF-BE77-E29D455ABB06}"/>
            </a:ext>
            <a:ext uri="{147F2762-F138-4A5C-976F-8EAC2B608ADB}">
              <a16:predDERef xmlns:a16="http://schemas.microsoft.com/office/drawing/2014/main" pred="{EB0411F8-7BF6-CC98-E2E5-60D50BD6F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9275"/>
          <a:ext cx="4886325" cy="3505200"/>
        </a:xfrm>
        <a:prstGeom prst="rect">
          <a:avLst/>
        </a:prstGeom>
      </xdr:spPr>
    </xdr:pic>
    <xdr:clientData/>
  </xdr:twoCellAnchor>
  <xdr:twoCellAnchor editAs="oneCell">
    <xdr:from>
      <xdr:col>12</xdr:col>
      <xdr:colOff>438150</xdr:colOff>
      <xdr:row>6</xdr:row>
      <xdr:rowOff>142875</xdr:rowOff>
    </xdr:from>
    <xdr:to>
      <xdr:col>20</xdr:col>
      <xdr:colOff>133350</xdr:colOff>
      <xdr:row>13</xdr:row>
      <xdr:rowOff>57150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6A81926-EC1F-7C43-9FA4-D2A5F2B888A5}"/>
            </a:ext>
            <a:ext uri="{147F2762-F138-4A5C-976F-8EAC2B608ADB}">
              <a16:predDERef xmlns:a16="http://schemas.microsoft.com/office/drawing/2014/main" pred="{9A105038-4948-E7FF-BE77-E29D455AB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53350" y="1285875"/>
          <a:ext cx="4572000" cy="1247775"/>
        </a:xfrm>
        <a:prstGeom prst="rect">
          <a:avLst/>
        </a:prstGeom>
      </xdr:spPr>
    </xdr:pic>
    <xdr:clientData/>
  </xdr:twoCellAnchor>
  <xdr:twoCellAnchor editAs="oneCell">
    <xdr:from>
      <xdr:col>12</xdr:col>
      <xdr:colOff>438150</xdr:colOff>
      <xdr:row>13</xdr:row>
      <xdr:rowOff>57150</xdr:rowOff>
    </xdr:from>
    <xdr:to>
      <xdr:col>20</xdr:col>
      <xdr:colOff>219075</xdr:colOff>
      <xdr:row>28</xdr:row>
      <xdr:rowOff>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D332ACE-681D-D5BA-60AE-58FF15B8C95F}"/>
            </a:ext>
            <a:ext uri="{147F2762-F138-4A5C-976F-8EAC2B608ADB}">
              <a16:predDERef xmlns:a16="http://schemas.microsoft.com/office/drawing/2014/main" pred="{86A81926-EC1F-7C43-9FA4-D2A5F2B88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53350" y="2533650"/>
          <a:ext cx="4657725" cy="2800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C17" sqref="C17"/>
    </sheetView>
  </sheetViews>
  <sheetFormatPr defaultRowHeight="15"/>
  <cols>
    <col min="1" max="1" width="6.42578125" bestFit="1" customWidth="1"/>
    <col min="2" max="2" width="16" bestFit="1" customWidth="1"/>
    <col min="3" max="3" width="13.28515625" bestFit="1" customWidth="1"/>
    <col min="4" max="4" width="12" bestFit="1" customWidth="1"/>
    <col min="5" max="5" width="14.28515625" bestFit="1" customWidth="1"/>
    <col min="6" max="6" width="12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4">
        <v>9040.0499999999993</v>
      </c>
      <c r="D2" s="4"/>
      <c r="E2" s="4">
        <f>C2</f>
        <v>9040.0499999999993</v>
      </c>
      <c r="F2" s="4"/>
    </row>
    <row r="3" spans="1:6">
      <c r="A3" s="5">
        <v>12</v>
      </c>
      <c r="B3" s="3" t="s">
        <v>8</v>
      </c>
      <c r="C3" s="4">
        <v>100605.54</v>
      </c>
      <c r="D3" s="4">
        <v>64959.17</v>
      </c>
      <c r="E3" s="4">
        <v>35646.370000000003</v>
      </c>
      <c r="F3" s="4"/>
    </row>
    <row r="4" spans="1:6">
      <c r="A4" s="5">
        <v>6</v>
      </c>
      <c r="B4" s="3" t="s">
        <v>9</v>
      </c>
      <c r="C4" s="4">
        <v>45866.86</v>
      </c>
      <c r="D4" s="4">
        <v>69.23</v>
      </c>
      <c r="E4" s="4">
        <v>45807.31</v>
      </c>
      <c r="F4" s="4"/>
    </row>
    <row r="5" spans="1:6">
      <c r="A5" s="5">
        <v>7</v>
      </c>
      <c r="B5" s="3" t="s">
        <v>10</v>
      </c>
      <c r="C5" s="4"/>
      <c r="D5" s="4">
        <v>24102.05</v>
      </c>
      <c r="E5" s="4"/>
      <c r="F5" s="4">
        <v>24102.05</v>
      </c>
    </row>
    <row r="6" spans="1:6">
      <c r="A6" s="6" t="s">
        <v>11</v>
      </c>
      <c r="B6" s="7"/>
      <c r="C6" s="8"/>
      <c r="D6" s="8"/>
      <c r="E6" s="8"/>
      <c r="F6" s="9">
        <f>F5-E4</f>
        <v>-21705.26</v>
      </c>
    </row>
    <row r="7" spans="1:6">
      <c r="A7" s="5">
        <v>22</v>
      </c>
      <c r="B7" s="3" t="s">
        <v>12</v>
      </c>
      <c r="C7" s="4">
        <v>14275.96</v>
      </c>
      <c r="D7" s="4">
        <v>16238</v>
      </c>
      <c r="E7" s="4"/>
      <c r="F7" s="4">
        <v>1962.04</v>
      </c>
    </row>
    <row r="8" spans="1:6">
      <c r="A8" s="10">
        <v>21</v>
      </c>
      <c r="B8" s="11" t="s">
        <v>13</v>
      </c>
      <c r="C8" s="12">
        <v>0</v>
      </c>
      <c r="D8" s="12">
        <v>0</v>
      </c>
      <c r="E8" s="12"/>
      <c r="F8" s="12"/>
    </row>
    <row r="9" spans="1:6">
      <c r="A9" s="10">
        <v>25</v>
      </c>
      <c r="B9" s="13" t="s">
        <v>14</v>
      </c>
      <c r="C9" s="13">
        <v>645.34</v>
      </c>
      <c r="D9" s="13">
        <v>50000</v>
      </c>
      <c r="E9" s="13"/>
      <c r="F9" s="13">
        <v>49354.66</v>
      </c>
    </row>
    <row r="10" spans="1:6">
      <c r="A10" s="5">
        <v>2451</v>
      </c>
      <c r="B10" s="2" t="s">
        <v>15</v>
      </c>
      <c r="C10" s="2">
        <v>4605.72</v>
      </c>
      <c r="D10" s="2">
        <v>6908.58</v>
      </c>
      <c r="E10" s="2"/>
      <c r="F10" s="2">
        <v>2302.86</v>
      </c>
    </row>
    <row r="11" spans="1:6">
      <c r="A11" s="5">
        <v>24</v>
      </c>
      <c r="B11" s="3" t="s">
        <v>16</v>
      </c>
      <c r="C11" s="2">
        <v>11195.21</v>
      </c>
      <c r="D11" s="2">
        <v>5543.54</v>
      </c>
      <c r="E11" s="2">
        <v>5651.67</v>
      </c>
      <c r="F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19D9-0CBD-46E6-85C0-C0569D069552}">
  <dimension ref="A1:D15"/>
  <sheetViews>
    <sheetView workbookViewId="0">
      <selection activeCell="A9" sqref="A9:D9"/>
    </sheetView>
  </sheetViews>
  <sheetFormatPr defaultRowHeight="15"/>
  <cols>
    <col min="1" max="1" width="19.42578125" bestFit="1" customWidth="1"/>
    <col min="2" max="2" width="13.28515625" bestFit="1" customWidth="1"/>
    <col min="3" max="4" width="12" bestFit="1" customWidth="1"/>
  </cols>
  <sheetData>
    <row r="1" spans="1:4">
      <c r="B1" s="14" t="s">
        <v>17</v>
      </c>
    </row>
    <row r="2" spans="1:4">
      <c r="A2" s="14" t="s">
        <v>1</v>
      </c>
      <c r="B2" s="14" t="s">
        <v>18</v>
      </c>
      <c r="C2" s="15" t="s">
        <v>19</v>
      </c>
      <c r="D2" s="14" t="s">
        <v>20</v>
      </c>
    </row>
    <row r="3" spans="1:4">
      <c r="A3" s="2" t="s">
        <v>21</v>
      </c>
      <c r="B3" s="4">
        <v>44672.480000000003</v>
      </c>
      <c r="C3" s="16">
        <v>43715.519999999997</v>
      </c>
      <c r="D3" s="4">
        <v>42758.559999999998</v>
      </c>
    </row>
    <row r="4" spans="1:4">
      <c r="A4" s="2" t="s">
        <v>22</v>
      </c>
      <c r="B4" s="4">
        <v>90883.8</v>
      </c>
      <c r="C4" s="16">
        <v>60832.33</v>
      </c>
      <c r="D4" s="4">
        <v>50338.09</v>
      </c>
    </row>
    <row r="5" spans="1:4">
      <c r="A5" s="2" t="s">
        <v>23</v>
      </c>
      <c r="B5" s="4">
        <v>23350.18</v>
      </c>
      <c r="C5" s="16">
        <v>15334.05</v>
      </c>
      <c r="D5" s="4">
        <v>8294.74</v>
      </c>
    </row>
    <row r="6" spans="1:4">
      <c r="A6" s="2" t="s">
        <v>24</v>
      </c>
      <c r="B6" s="4">
        <v>0</v>
      </c>
      <c r="C6" s="16">
        <v>0</v>
      </c>
      <c r="D6" s="4">
        <v>0</v>
      </c>
    </row>
    <row r="7" spans="1:4">
      <c r="A7" s="2" t="s">
        <v>25</v>
      </c>
      <c r="B7" s="4">
        <v>112206.1</v>
      </c>
      <c r="C7" s="16">
        <v>89213.8</v>
      </c>
      <c r="D7" s="4">
        <v>84801.91</v>
      </c>
    </row>
    <row r="9" spans="1:4">
      <c r="A9" t="s">
        <v>26</v>
      </c>
    </row>
    <row r="10" spans="1:4">
      <c r="A10" s="2" t="s">
        <v>1</v>
      </c>
      <c r="B10" s="21" t="s">
        <v>20</v>
      </c>
      <c r="C10" s="21" t="s">
        <v>27</v>
      </c>
      <c r="D10" s="21" t="s">
        <v>18</v>
      </c>
    </row>
    <row r="11" spans="1:4">
      <c r="A11" s="2" t="s">
        <v>28</v>
      </c>
      <c r="B11" s="22">
        <v>0.59359618197278807</v>
      </c>
      <c r="C11" s="22">
        <v>0.68187130242182259</v>
      </c>
      <c r="D11" s="22">
        <v>0.80997200686950177</v>
      </c>
    </row>
    <row r="12" spans="1:4">
      <c r="A12" s="2" t="s">
        <v>29</v>
      </c>
      <c r="B12" s="22">
        <v>-34463.820000000007</v>
      </c>
      <c r="C12" s="22">
        <v>-28381.47</v>
      </c>
      <c r="D12" s="22">
        <v>-21322.300000000003</v>
      </c>
    </row>
    <row r="13" spans="1:4">
      <c r="A13" s="2" t="s">
        <v>30</v>
      </c>
      <c r="B13" s="22">
        <v>8.9098157667327454E-2</v>
      </c>
      <c r="C13" s="22">
        <v>0.14667016107935266</v>
      </c>
      <c r="D13" s="22">
        <v>0.17225450565624847</v>
      </c>
    </row>
    <row r="14" spans="1:4">
      <c r="A14" s="2" t="s">
        <v>31</v>
      </c>
      <c r="B14" s="22">
        <v>0.91090184233267268</v>
      </c>
      <c r="C14" s="22">
        <v>0.85332983892064729</v>
      </c>
      <c r="D14" s="22">
        <v>0.82774549434375155</v>
      </c>
    </row>
    <row r="15" spans="1:4">
      <c r="A15" s="2" t="s">
        <v>32</v>
      </c>
      <c r="B15" s="22">
        <v>9.7813127086406423E-2</v>
      </c>
      <c r="C15" s="22">
        <v>0.17187979886519797</v>
      </c>
      <c r="D15" s="22">
        <v>0.20810080735361089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AC61-C2C6-4FA7-9AFE-FC4FCADDB23D}">
  <dimension ref="A1:H5"/>
  <sheetViews>
    <sheetView workbookViewId="0">
      <selection activeCell="H11" sqref="H11"/>
    </sheetView>
  </sheetViews>
  <sheetFormatPr defaultRowHeight="15"/>
  <cols>
    <col min="1" max="1" width="17.85546875" bestFit="1" customWidth="1"/>
    <col min="2" max="2" width="12.5703125" bestFit="1" customWidth="1"/>
    <col min="3" max="3" width="14.5703125" customWidth="1"/>
    <col min="4" max="4" width="11.28515625" bestFit="1" customWidth="1"/>
    <col min="5" max="5" width="16.7109375" bestFit="1" customWidth="1"/>
    <col min="6" max="6" width="16.42578125" bestFit="1" customWidth="1"/>
    <col min="7" max="7" width="8" bestFit="1" customWidth="1"/>
    <col min="8" max="8" width="26.85546875" bestFit="1" customWidth="1"/>
  </cols>
  <sheetData>
    <row r="1" spans="1:8">
      <c r="A1" s="33" t="s">
        <v>33</v>
      </c>
      <c r="B1" s="34"/>
      <c r="C1" s="34"/>
      <c r="D1" s="34"/>
      <c r="E1" s="34"/>
      <c r="F1" s="34"/>
      <c r="G1" s="34"/>
      <c r="H1" s="35"/>
    </row>
    <row r="2" spans="1:8">
      <c r="A2" s="36"/>
      <c r="B2" s="37"/>
      <c r="C2" s="37"/>
      <c r="D2" s="37"/>
      <c r="E2" s="37"/>
      <c r="F2" s="37"/>
      <c r="G2" s="37"/>
      <c r="H2" s="38"/>
    </row>
    <row r="3" spans="1:8">
      <c r="A3" s="2" t="s">
        <v>34</v>
      </c>
      <c r="B3" s="2" t="s">
        <v>1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</row>
    <row r="4" spans="1:8" ht="28.5" customHeight="1">
      <c r="A4" s="2" t="s">
        <v>41</v>
      </c>
      <c r="B4" s="2" t="s">
        <v>42</v>
      </c>
      <c r="C4" s="18" t="s">
        <v>43</v>
      </c>
      <c r="D4" s="3" t="s">
        <v>44</v>
      </c>
      <c r="E4" s="17">
        <v>46023</v>
      </c>
      <c r="F4" s="4">
        <v>913.99</v>
      </c>
      <c r="G4" s="2">
        <v>3</v>
      </c>
      <c r="H4" s="19">
        <v>46024</v>
      </c>
    </row>
    <row r="5" spans="1:8" ht="34.5" customHeight="1">
      <c r="A5" s="5">
        <v>2026.0000399999999</v>
      </c>
      <c r="B5" s="2" t="s">
        <v>45</v>
      </c>
      <c r="C5" s="18" t="s">
        <v>46</v>
      </c>
      <c r="D5" s="3" t="s">
        <v>47</v>
      </c>
      <c r="E5" s="17">
        <v>46023</v>
      </c>
      <c r="F5" s="4">
        <v>44715.45</v>
      </c>
      <c r="G5" s="2">
        <v>4</v>
      </c>
      <c r="H5" s="19">
        <v>46023</v>
      </c>
    </row>
  </sheetData>
  <mergeCells count="1">
    <mergeCell ref="A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BD89-F80B-45CB-A3B0-C65AF7606825}">
  <dimension ref="A2:J9"/>
  <sheetViews>
    <sheetView workbookViewId="0">
      <selection activeCell="I16" sqref="I16"/>
    </sheetView>
  </sheetViews>
  <sheetFormatPr defaultRowHeight="15"/>
  <cols>
    <col min="1" max="1" width="12.85546875" bestFit="1" customWidth="1"/>
    <col min="2" max="2" width="26" bestFit="1" customWidth="1"/>
    <col min="3" max="3" width="14.42578125" bestFit="1" customWidth="1"/>
    <col min="4" max="4" width="18.28515625" bestFit="1" customWidth="1"/>
    <col min="5" max="5" width="16.5703125" bestFit="1" customWidth="1"/>
    <col min="6" max="6" width="17.140625" bestFit="1" customWidth="1"/>
    <col min="7" max="7" width="16.85546875" bestFit="1" customWidth="1"/>
    <col min="8" max="8" width="21.7109375" bestFit="1" customWidth="1"/>
    <col min="9" max="9" width="22.42578125" bestFit="1" customWidth="1"/>
    <col min="10" max="10" width="17.85546875" bestFit="1" customWidth="1"/>
  </cols>
  <sheetData>
    <row r="2" spans="1:10">
      <c r="A2" s="20" t="s">
        <v>48</v>
      </c>
      <c r="B2" s="20" t="s">
        <v>35</v>
      </c>
      <c r="C2" s="20" t="s">
        <v>34</v>
      </c>
      <c r="D2" s="20" t="s">
        <v>1</v>
      </c>
      <c r="E2" s="20" t="s">
        <v>49</v>
      </c>
      <c r="F2" s="20" t="s">
        <v>50</v>
      </c>
      <c r="G2" s="20" t="s">
        <v>51</v>
      </c>
      <c r="H2" s="20" t="s">
        <v>52</v>
      </c>
      <c r="I2" s="20" t="s">
        <v>53</v>
      </c>
      <c r="J2" s="20" t="s">
        <v>54</v>
      </c>
    </row>
    <row r="3" spans="1:10">
      <c r="A3" s="2">
        <v>43</v>
      </c>
      <c r="B3" s="2" t="s">
        <v>55</v>
      </c>
      <c r="C3" s="2"/>
      <c r="D3" s="2"/>
      <c r="E3" s="2"/>
      <c r="F3" s="2"/>
      <c r="G3" s="2"/>
      <c r="H3" s="2"/>
      <c r="I3" s="2"/>
      <c r="J3" s="2"/>
    </row>
    <row r="4" spans="1:10">
      <c r="A4" s="2">
        <v>434</v>
      </c>
      <c r="B4" s="2" t="s">
        <v>56</v>
      </c>
      <c r="C4" s="2" t="s">
        <v>57</v>
      </c>
      <c r="D4" s="2" t="s">
        <v>58</v>
      </c>
      <c r="E4" s="17">
        <v>46023</v>
      </c>
      <c r="F4" s="17">
        <v>46023</v>
      </c>
      <c r="G4" s="4">
        <v>44715.45</v>
      </c>
      <c r="H4" s="4">
        <v>44715.45</v>
      </c>
      <c r="I4" s="4">
        <v>2794.71</v>
      </c>
      <c r="J4" s="4">
        <v>41920.74</v>
      </c>
    </row>
    <row r="5" spans="1:10">
      <c r="A5" s="2"/>
      <c r="B5" s="2" t="s">
        <v>59</v>
      </c>
      <c r="C5" s="2"/>
      <c r="D5" s="2"/>
      <c r="E5" s="2"/>
      <c r="F5" s="2"/>
      <c r="G5" s="4">
        <v>44715.45</v>
      </c>
      <c r="H5" s="4">
        <v>44715.45</v>
      </c>
      <c r="I5" s="4">
        <v>2794.71</v>
      </c>
      <c r="J5" s="4">
        <v>41920.74</v>
      </c>
    </row>
    <row r="6" spans="1:10">
      <c r="A6" s="2"/>
      <c r="B6" s="2" t="s">
        <v>43</v>
      </c>
      <c r="C6" s="2" t="s">
        <v>60</v>
      </c>
      <c r="D6" s="2" t="s">
        <v>42</v>
      </c>
      <c r="E6" s="17">
        <v>46023</v>
      </c>
      <c r="F6" s="17">
        <v>46023</v>
      </c>
      <c r="G6" s="4">
        <v>913.99</v>
      </c>
      <c r="H6" s="4">
        <v>913.99</v>
      </c>
      <c r="I6" s="4">
        <v>76.17</v>
      </c>
      <c r="J6" s="4">
        <v>837.82</v>
      </c>
    </row>
    <row r="7" spans="1:10">
      <c r="A7" s="2">
        <v>435</v>
      </c>
      <c r="B7" s="2" t="s">
        <v>61</v>
      </c>
      <c r="C7" s="2"/>
      <c r="D7" s="2"/>
      <c r="E7" s="2"/>
      <c r="F7" s="2"/>
      <c r="G7" s="4">
        <v>913.99</v>
      </c>
      <c r="H7" s="4">
        <v>913.99</v>
      </c>
      <c r="I7" s="4">
        <v>76.17</v>
      </c>
      <c r="J7" s="4">
        <v>837.82</v>
      </c>
    </row>
    <row r="8" spans="1:10">
      <c r="A8" s="2"/>
      <c r="B8" s="2" t="s">
        <v>62</v>
      </c>
      <c r="C8" s="2"/>
      <c r="D8" s="2"/>
      <c r="E8" s="2"/>
      <c r="F8" s="2"/>
      <c r="G8" s="4">
        <v>45629.440000000002</v>
      </c>
      <c r="H8" s="4">
        <v>45629.440000000002</v>
      </c>
      <c r="I8" s="4">
        <v>2870.88</v>
      </c>
      <c r="J8" s="4">
        <v>42758.559999999998</v>
      </c>
    </row>
    <row r="9" spans="1:10">
      <c r="A9" s="2"/>
      <c r="B9" s="2" t="s">
        <v>63</v>
      </c>
      <c r="C9" s="2"/>
      <c r="D9" s="2"/>
      <c r="E9" s="2"/>
      <c r="F9" s="2"/>
      <c r="G9" s="4">
        <v>45629.440000000002</v>
      </c>
      <c r="H9" s="4">
        <v>45629.440000000002</v>
      </c>
      <c r="I9" s="4">
        <v>2870.88</v>
      </c>
      <c r="J9" s="4">
        <v>42758.559999999998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B9E1-450F-465B-B505-752EBBBDECC9}">
  <dimension ref="A1:B4"/>
  <sheetViews>
    <sheetView workbookViewId="0">
      <selection activeCell="A10" sqref="A10"/>
    </sheetView>
  </sheetViews>
  <sheetFormatPr defaultRowHeight="15"/>
  <cols>
    <col min="1" max="1" width="19.42578125" bestFit="1" customWidth="1"/>
    <col min="2" max="2" width="12" bestFit="1" customWidth="1"/>
  </cols>
  <sheetData>
    <row r="1" spans="1:2">
      <c r="A1" s="39" t="s">
        <v>64</v>
      </c>
      <c r="B1" s="40"/>
    </row>
    <row r="2" spans="1:2">
      <c r="A2" s="2" t="s">
        <v>65</v>
      </c>
      <c r="B2" s="4">
        <v>50000</v>
      </c>
    </row>
    <row r="3" spans="1:2">
      <c r="A3" s="2" t="s">
        <v>66</v>
      </c>
      <c r="B3" s="4">
        <f>25000+983.2</f>
        <v>25983.200000000001</v>
      </c>
    </row>
    <row r="4" spans="1:2">
      <c r="A4" s="2" t="s">
        <v>67</v>
      </c>
      <c r="B4" s="4">
        <v>24016.799999999999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EA3D-BC5A-4CD9-BA8F-D6CB580C21C3}">
  <dimension ref="A1:B7"/>
  <sheetViews>
    <sheetView workbookViewId="0">
      <selection activeCell="A11" sqref="A11"/>
    </sheetView>
  </sheetViews>
  <sheetFormatPr defaultRowHeight="15"/>
  <cols>
    <col min="1" max="1" width="16.85546875" bestFit="1" customWidth="1"/>
    <col min="2" max="2" width="12.28515625" bestFit="1" customWidth="1"/>
  </cols>
  <sheetData>
    <row r="1" spans="1:2">
      <c r="A1" s="39" t="s">
        <v>68</v>
      </c>
      <c r="B1" s="40"/>
    </row>
    <row r="2" spans="1:2">
      <c r="A2" s="2" t="s">
        <v>10</v>
      </c>
      <c r="B2" s="4">
        <v>24102.05</v>
      </c>
    </row>
    <row r="3" spans="1:2">
      <c r="A3" s="2" t="s">
        <v>9</v>
      </c>
      <c r="B3" s="4">
        <v>45807.31</v>
      </c>
    </row>
    <row r="4" spans="1:2">
      <c r="A4" s="2" t="s">
        <v>11</v>
      </c>
      <c r="B4" s="4">
        <f>B2-B3</f>
        <v>-21705.26</v>
      </c>
    </row>
    <row r="6" spans="1:2">
      <c r="A6" s="41" t="s">
        <v>69</v>
      </c>
      <c r="B6" s="2" t="s">
        <v>70</v>
      </c>
    </row>
    <row r="7" spans="1:2">
      <c r="A7" s="42"/>
      <c r="B7" s="2" t="s">
        <v>71</v>
      </c>
    </row>
  </sheetData>
  <mergeCells count="2">
    <mergeCell ref="A1:B1"/>
    <mergeCell ref="A6:A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C948-D3E8-4AB2-BC7F-A33AE02BB5E5}">
  <dimension ref="A1:B9"/>
  <sheetViews>
    <sheetView workbookViewId="0">
      <selection activeCell="A12" sqref="A12:I26"/>
    </sheetView>
  </sheetViews>
  <sheetFormatPr defaultRowHeight="15"/>
  <cols>
    <col min="1" max="1" width="19.7109375" bestFit="1" customWidth="1"/>
    <col min="2" max="2" width="16.140625" bestFit="1" customWidth="1"/>
    <col min="4" max="5" width="15.140625" bestFit="1" customWidth="1"/>
    <col min="6" max="6" width="12.42578125" bestFit="1" customWidth="1"/>
    <col min="7" max="8" width="11.28515625" bestFit="1" customWidth="1"/>
    <col min="9" max="9" width="18.85546875" bestFit="1" customWidth="1"/>
  </cols>
  <sheetData>
    <row r="1" spans="1:2">
      <c r="A1" s="43" t="s">
        <v>72</v>
      </c>
      <c r="B1" s="43"/>
    </row>
    <row r="2" spans="1:2">
      <c r="A2" s="43"/>
      <c r="B2" s="43"/>
    </row>
    <row r="3" spans="1:2">
      <c r="A3" s="2" t="s">
        <v>73</v>
      </c>
      <c r="B3" s="2" t="s">
        <v>74</v>
      </c>
    </row>
    <row r="4" spans="1:2">
      <c r="A4" s="2" t="s">
        <v>75</v>
      </c>
      <c r="B4" s="4">
        <v>1200</v>
      </c>
    </row>
    <row r="5" spans="1:2">
      <c r="A5" s="2" t="s">
        <v>76</v>
      </c>
      <c r="B5" s="4">
        <v>1200</v>
      </c>
    </row>
    <row r="6" spans="1:2">
      <c r="A6" s="2" t="s">
        <v>77</v>
      </c>
      <c r="B6" s="4">
        <v>1000</v>
      </c>
    </row>
    <row r="7" spans="1:2">
      <c r="A7" s="2" t="s">
        <v>78</v>
      </c>
      <c r="B7" s="4">
        <v>1000</v>
      </c>
    </row>
    <row r="8" spans="1:2">
      <c r="A8" s="2" t="s">
        <v>79</v>
      </c>
      <c r="B8" s="4">
        <v>1250</v>
      </c>
    </row>
    <row r="9" spans="1:2">
      <c r="A9" s="2" t="s">
        <v>80</v>
      </c>
      <c r="B9" s="4">
        <v>1000</v>
      </c>
    </row>
  </sheetData>
  <mergeCells count="1">
    <mergeCell ref="A1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92B8-D062-4399-8D22-B50180B091E1}">
  <dimension ref="A1:I15"/>
  <sheetViews>
    <sheetView tabSelected="1" workbookViewId="0">
      <selection activeCell="B3" sqref="B3"/>
    </sheetView>
  </sheetViews>
  <sheetFormatPr defaultRowHeight="15"/>
  <cols>
    <col min="1" max="1" width="12.5703125" bestFit="1" customWidth="1"/>
    <col min="2" max="2" width="7.140625" bestFit="1" customWidth="1"/>
    <col min="4" max="5" width="15.140625" bestFit="1" customWidth="1"/>
    <col min="6" max="6" width="12.42578125" bestFit="1" customWidth="1"/>
    <col min="7" max="8" width="11.28515625" bestFit="1" customWidth="1"/>
    <col min="9" max="9" width="18.85546875" bestFit="1" customWidth="1"/>
  </cols>
  <sheetData>
    <row r="1" spans="1:9">
      <c r="A1" s="39" t="s">
        <v>81</v>
      </c>
      <c r="B1" s="44"/>
      <c r="C1" s="44"/>
      <c r="D1" s="44"/>
      <c r="E1" s="44"/>
      <c r="F1" s="44"/>
      <c r="G1" s="44"/>
      <c r="H1" s="44"/>
      <c r="I1" s="40"/>
    </row>
    <row r="2" spans="1:9">
      <c r="A2" s="2" t="s">
        <v>82</v>
      </c>
      <c r="B2" s="2" t="s">
        <v>83</v>
      </c>
      <c r="C2" s="2" t="s">
        <v>84</v>
      </c>
      <c r="D2" s="2" t="s">
        <v>85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</row>
    <row r="3" spans="1:9">
      <c r="A3" s="23">
        <v>1200</v>
      </c>
      <c r="B3" s="2">
        <f>129.15+123+135.3</f>
        <v>387.45000000000005</v>
      </c>
      <c r="C3" s="2">
        <v>3</v>
      </c>
      <c r="D3" s="23">
        <f>A3*C3</f>
        <v>3600</v>
      </c>
      <c r="E3" s="24">
        <f>D3+B3</f>
        <v>3987.45</v>
      </c>
      <c r="F3" s="4">
        <f>+D3*0.08</f>
        <v>288</v>
      </c>
      <c r="G3" s="24">
        <f>D3*0.11</f>
        <v>396</v>
      </c>
      <c r="H3" s="24">
        <f>D3*0.2375</f>
        <v>855</v>
      </c>
      <c r="I3" s="24"/>
    </row>
    <row r="4" spans="1:9">
      <c r="A4" s="23">
        <v>1200</v>
      </c>
      <c r="B4" s="2">
        <f>129.15+123+135.3</f>
        <v>387.45000000000005</v>
      </c>
      <c r="C4" s="2">
        <v>3</v>
      </c>
      <c r="D4" s="23">
        <f>A4*C4</f>
        <v>3600</v>
      </c>
      <c r="E4" s="24">
        <f>D4+B4</f>
        <v>3987.45</v>
      </c>
      <c r="F4" s="4">
        <f>+D4*0.08</f>
        <v>288</v>
      </c>
      <c r="G4" s="24">
        <f>D4*0.11</f>
        <v>396</v>
      </c>
      <c r="H4" s="24">
        <f>D4*0.2375</f>
        <v>855</v>
      </c>
      <c r="I4" s="2"/>
    </row>
    <row r="5" spans="1:9">
      <c r="A5" s="23">
        <v>1000</v>
      </c>
      <c r="B5" s="2">
        <f>129.15+123+135.3</f>
        <v>387.45000000000005</v>
      </c>
      <c r="C5" s="2">
        <v>3</v>
      </c>
      <c r="D5" s="23">
        <f>A5*C5</f>
        <v>3000</v>
      </c>
      <c r="E5" s="24">
        <f>D5+B5</f>
        <v>3387.45</v>
      </c>
      <c r="F5" s="4">
        <f>+D5*3.6%</f>
        <v>108.00000000000001</v>
      </c>
      <c r="G5" s="24">
        <f>D5*0.11</f>
        <v>330</v>
      </c>
      <c r="H5" s="24">
        <f>D5*0.2375</f>
        <v>712.5</v>
      </c>
      <c r="I5" s="2"/>
    </row>
    <row r="6" spans="1:9">
      <c r="A6" s="23">
        <v>1000</v>
      </c>
      <c r="B6" s="2">
        <f>129.15+123+135.3</f>
        <v>387.45000000000005</v>
      </c>
      <c r="C6" s="2">
        <v>3</v>
      </c>
      <c r="D6" s="23">
        <f>A6*C6</f>
        <v>3000</v>
      </c>
      <c r="E6" s="24">
        <f>D6+B6</f>
        <v>3387.45</v>
      </c>
      <c r="F6" s="4">
        <f>+D6*3.6%</f>
        <v>108.00000000000001</v>
      </c>
      <c r="G6" s="24">
        <f>D6*0.11</f>
        <v>330</v>
      </c>
      <c r="H6" s="24">
        <f>D6*0.2375</f>
        <v>712.5</v>
      </c>
      <c r="I6" s="2"/>
    </row>
    <row r="7" spans="1:9">
      <c r="A7" s="29">
        <v>1000</v>
      </c>
      <c r="B7" s="13">
        <f>129.15+123+135.3</f>
        <v>387.45000000000005</v>
      </c>
      <c r="C7" s="2">
        <v>3</v>
      </c>
      <c r="D7" s="23">
        <f>A7*C7</f>
        <v>3000</v>
      </c>
      <c r="E7" s="24">
        <f>D7+B7</f>
        <v>3387.45</v>
      </c>
      <c r="F7" s="4">
        <f>+D7*3.6%</f>
        <v>108.00000000000001</v>
      </c>
      <c r="G7" s="24">
        <f>D7*0.11</f>
        <v>330</v>
      </c>
      <c r="H7" s="24">
        <f>D7*0.2375</f>
        <v>712.5</v>
      </c>
      <c r="I7" s="2"/>
    </row>
    <row r="8" spans="1:9">
      <c r="A8" s="25">
        <v>1250</v>
      </c>
      <c r="B8" s="2">
        <f>129.15+116.85+129.15</f>
        <v>375.15</v>
      </c>
      <c r="C8" s="31">
        <v>3</v>
      </c>
      <c r="D8" s="26">
        <f>A8*C8</f>
        <v>3750</v>
      </c>
      <c r="E8" s="28">
        <f>D8+B8</f>
        <v>4125.1499999999996</v>
      </c>
      <c r="F8" s="4">
        <f>+D8*8.56%</f>
        <v>321.00000000000006</v>
      </c>
      <c r="G8" s="28">
        <f>D8*0.11</f>
        <v>412.5</v>
      </c>
      <c r="H8" s="28">
        <f>D8*0.2375</f>
        <v>890.625</v>
      </c>
      <c r="I8" s="13"/>
    </row>
    <row r="9" spans="1:9">
      <c r="C9" s="2" t="s">
        <v>90</v>
      </c>
      <c r="D9" s="32">
        <f>D3+D4+D5+D6+D7+D8</f>
        <v>19950</v>
      </c>
      <c r="E9" s="26">
        <f>E3+E4+E5+E6+E7+E8</f>
        <v>22262.400000000001</v>
      </c>
      <c r="F9" s="30">
        <f>F3+F4+F5+F6+F7+F8</f>
        <v>1221</v>
      </c>
      <c r="G9" s="24">
        <f>G3+G4+G5+G6+G7+G8</f>
        <v>2194.5</v>
      </c>
      <c r="H9" s="24">
        <f>D9*0.2375</f>
        <v>4738.125</v>
      </c>
      <c r="I9" s="24">
        <f>E9-F9-G9</f>
        <v>18846.900000000001</v>
      </c>
    </row>
    <row r="10" spans="1:9">
      <c r="E10" s="2"/>
      <c r="F10" s="2"/>
      <c r="I10" s="27"/>
    </row>
    <row r="11" spans="1:9">
      <c r="E11" s="2"/>
      <c r="F11" s="2"/>
    </row>
    <row r="12" spans="1:9">
      <c r="E12" s="2" t="s">
        <v>85</v>
      </c>
      <c r="F12" s="24">
        <f>E9</f>
        <v>22262.400000000001</v>
      </c>
    </row>
    <row r="13" spans="1:9">
      <c r="E13" s="2" t="s">
        <v>86</v>
      </c>
      <c r="F13" s="24">
        <f>F9</f>
        <v>1221</v>
      </c>
    </row>
    <row r="14" spans="1:9">
      <c r="E14" s="2" t="s">
        <v>91</v>
      </c>
      <c r="F14" s="24">
        <f>G9+H9</f>
        <v>6932.625</v>
      </c>
    </row>
    <row r="15" spans="1:9">
      <c r="E15" s="2"/>
      <c r="F15" s="2"/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9609-4B8E-4162-9677-043A35966E66}">
  <dimension ref="A1:T7"/>
  <sheetViews>
    <sheetView workbookViewId="0">
      <selection activeCell="K15" sqref="K15"/>
    </sheetView>
  </sheetViews>
  <sheetFormatPr defaultRowHeight="15"/>
  <sheetData>
    <row r="1" spans="1:20">
      <c r="A1" s="45" t="s">
        <v>92</v>
      </c>
      <c r="B1" s="45"/>
      <c r="C1" s="45"/>
      <c r="D1" s="45"/>
      <c r="E1" s="45"/>
      <c r="F1" s="45"/>
      <c r="G1" s="45"/>
      <c r="H1" s="45"/>
    </row>
    <row r="2" spans="1:20">
      <c r="A2" s="45"/>
      <c r="B2" s="45"/>
      <c r="C2" s="45"/>
      <c r="D2" s="45"/>
      <c r="E2" s="45"/>
      <c r="F2" s="45"/>
      <c r="G2" s="45"/>
      <c r="H2" s="45"/>
    </row>
    <row r="6" spans="1:20">
      <c r="N6" s="45" t="s">
        <v>93</v>
      </c>
      <c r="O6" s="45"/>
      <c r="P6" s="45"/>
      <c r="Q6" s="45"/>
      <c r="R6" s="45"/>
      <c r="S6" s="45"/>
      <c r="T6" s="45"/>
    </row>
    <row r="7" spans="1:20">
      <c r="N7" s="45"/>
      <c r="O7" s="45"/>
      <c r="P7" s="45"/>
      <c r="Q7" s="45"/>
      <c r="R7" s="45"/>
      <c r="S7" s="45"/>
      <c r="T7" s="45"/>
    </row>
  </sheetData>
  <mergeCells count="2">
    <mergeCell ref="A1:H2"/>
    <mergeCell ref="N6:T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SEBENILDES CABAMBA</cp:lastModifiedBy>
  <cp:revision/>
  <dcterms:created xsi:type="dcterms:W3CDTF">2026-09-23T15:01:09Z</dcterms:created>
  <dcterms:modified xsi:type="dcterms:W3CDTF">2026-09-24T10:43:36Z</dcterms:modified>
  <cp:category/>
  <cp:contentStatus/>
</cp:coreProperties>
</file>