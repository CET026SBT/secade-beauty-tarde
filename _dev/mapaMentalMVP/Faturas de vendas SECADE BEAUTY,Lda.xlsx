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ita Benjamim\Downloads\"/>
    </mc:Choice>
  </mc:AlternateContent>
  <xr:revisionPtr revIDLastSave="0" documentId="8_{A07262AC-7035-48A1-8035-8AD264BCD19E}" xr6:coauthVersionLast="47" xr6:coauthVersionMax="47" xr10:uidLastSave="{00000000-0000-0000-0000-000000000000}"/>
  <bookViews>
    <workbookView xWindow="-108" yWindow="-108" windowWidth="23256" windowHeight="12456" xr2:uid="{683668FD-5A4D-4291-B0EE-66D1B02B2161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2" i="1" l="1"/>
  <c r="U1" i="1"/>
</calcChain>
</file>

<file path=xl/sharedStrings.xml><?xml version="1.0" encoding="utf-8"?>
<sst xmlns="http://schemas.openxmlformats.org/spreadsheetml/2006/main" count="241" uniqueCount="77">
  <si>
    <t>Cabeleireiro Espaço Físico</t>
  </si>
  <si>
    <t>Janeiro</t>
  </si>
  <si>
    <t>Serviço Prestado</t>
  </si>
  <si>
    <t>Nº de Clientes</t>
  </si>
  <si>
    <t>Preço Unitário</t>
  </si>
  <si>
    <t>Valor base total</t>
  </si>
  <si>
    <t>IVA</t>
  </si>
  <si>
    <t>Total valor serviço</t>
  </si>
  <si>
    <t>Tranças</t>
  </si>
  <si>
    <t>Box braids</t>
  </si>
  <si>
    <t>Cordolete</t>
  </si>
  <si>
    <t>Demão</t>
  </si>
  <si>
    <t>Tranças nagô</t>
  </si>
  <si>
    <t>Box braid crochet hair</t>
  </si>
  <si>
    <t>Trança boxeadora</t>
  </si>
  <si>
    <t>Trança butterfly</t>
  </si>
  <si>
    <t>Maquilhagem para noivas</t>
  </si>
  <si>
    <t>Maquilhagem para festa</t>
  </si>
  <si>
    <t>Maquilhagem simples</t>
  </si>
  <si>
    <t>Manicure</t>
  </si>
  <si>
    <t>Limpeza facial</t>
  </si>
  <si>
    <t>Design de sobrancelha com linha</t>
  </si>
  <si>
    <t>Corte de cabelo</t>
  </si>
  <si>
    <t>Barba</t>
  </si>
  <si>
    <t>Retrobraids</t>
  </si>
  <si>
    <t>Dreads look</t>
  </si>
  <si>
    <t>Trança twist</t>
  </si>
  <si>
    <t>Tranças pipocas</t>
  </si>
  <si>
    <t>Coque (Bun)</t>
  </si>
  <si>
    <t xml:space="preserve">TOTAL </t>
  </si>
  <si>
    <t>Fevereiro</t>
  </si>
  <si>
    <t>Bohemian braids</t>
  </si>
  <si>
    <t>Rabo de cavalo (Ponytail)</t>
  </si>
  <si>
    <t>Trança Francesa</t>
  </si>
  <si>
    <t>Half bun (meio coque)</t>
  </si>
  <si>
    <t>Beach waves</t>
  </si>
  <si>
    <t>Cabelo liso com franja</t>
  </si>
  <si>
    <t>Trança espinha de peixe</t>
  </si>
  <si>
    <t>Cabelo preso lateral</t>
  </si>
  <si>
    <t>Cabelo solto com ondas</t>
  </si>
  <si>
    <t>Coque baixo elegante</t>
  </si>
  <si>
    <t>Março</t>
  </si>
  <si>
    <t>Trança fulani</t>
  </si>
  <si>
    <t>French curl</t>
  </si>
  <si>
    <t>Faux locs</t>
  </si>
  <si>
    <t>Gypsy braids</t>
  </si>
  <si>
    <t>Cabeleireiro área ambulante</t>
  </si>
  <si>
    <t>Serviço</t>
  </si>
  <si>
    <t>Nº clientes</t>
  </si>
  <si>
    <t>Destino</t>
  </si>
  <si>
    <t>Preço do serviço</t>
  </si>
  <si>
    <t>Deslocação</t>
  </si>
  <si>
    <t>Valor base Total</t>
  </si>
  <si>
    <t>Valor do IVA</t>
  </si>
  <si>
    <t>Preço Final</t>
  </si>
  <si>
    <t>Arraiolos</t>
  </si>
  <si>
    <t xml:space="preserve">Arraiolos </t>
  </si>
  <si>
    <t>Montemor-o-Novo</t>
  </si>
  <si>
    <t xml:space="preserve">Montemor-o-Novo </t>
  </si>
  <si>
    <t xml:space="preserve">Viana do Alentejo </t>
  </si>
  <si>
    <t xml:space="preserve">Reguengos de Monsaraz </t>
  </si>
  <si>
    <t xml:space="preserve">Redondo </t>
  </si>
  <si>
    <t xml:space="preserve">Vendas Novas </t>
  </si>
  <si>
    <t xml:space="preserve">Estremoz </t>
  </si>
  <si>
    <t xml:space="preserve">Vila Viçosa </t>
  </si>
  <si>
    <t xml:space="preserve">Mourão </t>
  </si>
  <si>
    <t>TOTAL</t>
  </si>
  <si>
    <t>Viana do Alentejo</t>
  </si>
  <si>
    <t>Reguengos de Monsaraz</t>
  </si>
  <si>
    <t>Redondo</t>
  </si>
  <si>
    <t xml:space="preserve">Corte de cabelo </t>
  </si>
  <si>
    <t>Vendas Novas</t>
  </si>
  <si>
    <t>Estremoz</t>
  </si>
  <si>
    <t>Total</t>
  </si>
  <si>
    <t>Coque Messy</t>
  </si>
  <si>
    <t>Total Vendas/IVA</t>
  </si>
  <si>
    <t>Total Vendas S/IVA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</si>
</sst>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9BC2E6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2" fillId="0" borderId="1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4" xfId="0" applyFont="1" applyBorder="1"/>
    <xf numFmtId="0" fontId="4" fillId="0" borderId="1" xfId="0" applyFont="1" applyBorder="1" applyAlignment="1">
      <alignment horizontal="center"/>
    </xf>
    <xf numFmtId="8" fontId="4" fillId="0" borderId="1" xfId="0" applyNumberFormat="1" applyFont="1" applyBorder="1"/>
    <xf numFmtId="8" fontId="3" fillId="0" borderId="1" xfId="0" applyNumberFormat="1" applyFont="1" applyBorder="1"/>
    <xf numFmtId="8" fontId="3" fillId="0" borderId="4" xfId="0" applyNumberFormat="1" applyFont="1" applyBorder="1"/>
    <xf numFmtId="0" fontId="4" fillId="0" borderId="8" xfId="0" applyFont="1" applyBorder="1" applyAlignment="1">
      <alignment horizontal="center"/>
    </xf>
    <xf numFmtId="8" fontId="4" fillId="0" borderId="8" xfId="0" applyNumberFormat="1" applyFont="1" applyBorder="1"/>
    <xf numFmtId="0" fontId="4" fillId="0" borderId="5" xfId="0" applyFont="1" applyBorder="1" applyAlignment="1">
      <alignment horizontal="center"/>
    </xf>
    <xf numFmtId="8" fontId="4" fillId="0" borderId="5" xfId="0" applyNumberFormat="1" applyFont="1" applyBorder="1"/>
    <xf numFmtId="0" fontId="4" fillId="0" borderId="9" xfId="0" applyFont="1" applyBorder="1" applyAlignment="1">
      <alignment horizontal="center"/>
    </xf>
    <xf numFmtId="8" fontId="4" fillId="0" borderId="10" xfId="0" applyNumberFormat="1" applyFont="1" applyBorder="1"/>
    <xf numFmtId="8" fontId="3" fillId="0" borderId="8" xfId="0" applyNumberFormat="1" applyFont="1" applyBorder="1"/>
    <xf numFmtId="8" fontId="3" fillId="0" borderId="10" xfId="0" applyNumberFormat="1" applyFont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8" fontId="2" fillId="3" borderId="1" xfId="0" applyNumberFormat="1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8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2" fillId="6" borderId="1" xfId="0" applyFont="1" applyFill="1" applyBorder="1"/>
    <xf numFmtId="8" fontId="2" fillId="6" borderId="1" xfId="0" applyNumberFormat="1" applyFont="1" applyFill="1" applyBorder="1"/>
    <xf numFmtId="0" fontId="3" fillId="0" borderId="1" xfId="0" applyFont="1" applyBorder="1" applyAlignment="1">
      <alignment horizontal="left"/>
    </xf>
    <xf numFmtId="0" fontId="3" fillId="0" borderId="13" xfId="0" applyFont="1" applyBorder="1"/>
    <xf numFmtId="0" fontId="2" fillId="9" borderId="1" xfId="0" applyFont="1" applyFill="1" applyBorder="1" applyAlignment="1">
      <alignment horizontal="center"/>
    </xf>
    <xf numFmtId="0" fontId="2" fillId="9" borderId="1" xfId="0" applyFont="1" applyFill="1" applyBorder="1"/>
    <xf numFmtId="8" fontId="2" fillId="9" borderId="1" xfId="0" applyNumberFormat="1" applyFont="1" applyFill="1" applyBorder="1"/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3" fillId="0" borderId="8" xfId="0" applyFont="1" applyBorder="1"/>
    <xf numFmtId="0" fontId="2" fillId="10" borderId="2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1" fillId="11" borderId="14" xfId="0" applyFont="1" applyFill="1" applyBorder="1"/>
    <xf numFmtId="8" fontId="1" fillId="11" borderId="1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7F5B-42B0-444A-BB09-CC5CCC9EAC89}">
  <dimension ref="A1:U73"/>
  <sheetViews>
    <sheetView tabSelected="1" workbookViewId="0">
      <selection activeCell="R9" sqref="R9"/>
    </sheetView>
  </sheetViews>
  <sheetFormatPr defaultRowHeight="14.4" x14ac:dyDescent="0.3"/>
  <cols>
    <col min="1" max="1" width="32.109375" bestFit="1" customWidth="1"/>
    <col min="2" max="2" width="12.5546875" bestFit="1" customWidth="1"/>
    <col min="3" max="3" width="12.77734375" bestFit="1" customWidth="1"/>
    <col min="4" max="4" width="14" bestFit="1" customWidth="1"/>
    <col min="5" max="5" width="9.44140625" bestFit="1" customWidth="1"/>
    <col min="6" max="6" width="16.109375" bestFit="1" customWidth="1"/>
    <col min="10" max="10" width="21.88671875" bestFit="1" customWidth="1"/>
    <col min="12" max="12" width="21.44140625" bestFit="1" customWidth="1"/>
    <col min="13" max="13" width="14.88671875" bestFit="1" customWidth="1"/>
    <col min="14" max="14" width="10.44140625" bestFit="1" customWidth="1"/>
    <col min="15" max="15" width="14.5546875" bestFit="1" customWidth="1"/>
    <col min="16" max="16" width="11.5546875" bestFit="1" customWidth="1"/>
    <col min="17" max="17" width="10.109375" bestFit="1" customWidth="1"/>
    <col min="20" max="20" width="16" bestFit="1" customWidth="1"/>
    <col min="21" max="21" width="10.21875" bestFit="1" customWidth="1"/>
  </cols>
  <sheetData>
    <row r="1" spans="1:21" x14ac:dyDescent="0.3">
      <c r="A1" s="23" t="s">
        <v>0</v>
      </c>
      <c r="B1" s="24"/>
      <c r="C1" s="24"/>
      <c r="D1" s="24"/>
      <c r="E1" s="24"/>
      <c r="F1" s="25"/>
      <c r="J1" s="26" t="s">
        <v>46</v>
      </c>
      <c r="K1" s="27"/>
      <c r="L1" s="27"/>
      <c r="M1" s="27"/>
      <c r="N1" s="27"/>
      <c r="O1" s="27"/>
      <c r="P1" s="27"/>
      <c r="Q1" s="28"/>
      <c r="T1" s="62" t="s">
        <v>75</v>
      </c>
      <c r="U1" s="63">
        <f>F25+F49+F73+Q24+Q48+Q73</f>
        <v>29638.739999999998</v>
      </c>
    </row>
    <row r="2" spans="1:21" x14ac:dyDescent="0.3">
      <c r="A2" s="26" t="s">
        <v>1</v>
      </c>
      <c r="B2" s="27"/>
      <c r="C2" s="27"/>
      <c r="D2" s="27"/>
      <c r="E2" s="27"/>
      <c r="F2" s="28"/>
      <c r="J2" s="23" t="s">
        <v>1</v>
      </c>
      <c r="K2" s="24"/>
      <c r="L2" s="24"/>
      <c r="M2" s="24"/>
      <c r="N2" s="24"/>
      <c r="O2" s="24"/>
      <c r="P2" s="24"/>
      <c r="Q2" s="25"/>
      <c r="T2" s="62" t="s">
        <v>76</v>
      </c>
      <c r="U2" s="63">
        <f>D25+D49+D73+O24+O48+O73</f>
        <v>24101.65</v>
      </c>
    </row>
    <row r="3" spans="1:21" x14ac:dyDescent="0.3">
      <c r="A3" s="1" t="s">
        <v>2</v>
      </c>
      <c r="B3" s="1" t="s">
        <v>3</v>
      </c>
      <c r="C3" s="2" t="s">
        <v>4</v>
      </c>
      <c r="D3" s="1" t="s">
        <v>5</v>
      </c>
      <c r="E3" s="3" t="s">
        <v>6</v>
      </c>
      <c r="F3" s="1" t="s">
        <v>7</v>
      </c>
      <c r="J3" s="40" t="s">
        <v>47</v>
      </c>
      <c r="K3" s="40" t="s">
        <v>48</v>
      </c>
      <c r="L3" s="40" t="s">
        <v>49</v>
      </c>
      <c r="M3" s="40" t="s">
        <v>50</v>
      </c>
      <c r="N3" s="40" t="s">
        <v>51</v>
      </c>
      <c r="O3" s="40" t="s">
        <v>52</v>
      </c>
      <c r="P3" s="40" t="s">
        <v>53</v>
      </c>
      <c r="Q3" s="40" t="s">
        <v>54</v>
      </c>
    </row>
    <row r="4" spans="1:21" x14ac:dyDescent="0.3">
      <c r="A4" s="4" t="s">
        <v>8</v>
      </c>
      <c r="B4" s="5"/>
      <c r="C4" s="6"/>
      <c r="D4" s="5"/>
      <c r="E4" s="7"/>
      <c r="F4" s="5"/>
      <c r="J4" s="5" t="s">
        <v>9</v>
      </c>
      <c r="K4" s="41">
        <v>5</v>
      </c>
      <c r="L4" s="30" t="s">
        <v>55</v>
      </c>
      <c r="M4" s="42">
        <v>32.520000000000003</v>
      </c>
      <c r="N4" s="42">
        <v>1.6</v>
      </c>
      <c r="O4" s="43">
        <v>164.2</v>
      </c>
      <c r="P4" s="43">
        <v>37.770000000000003</v>
      </c>
      <c r="Q4" s="43">
        <v>201.97</v>
      </c>
    </row>
    <row r="5" spans="1:21" ht="15.6" x14ac:dyDescent="0.3">
      <c r="A5" s="8" t="s">
        <v>9</v>
      </c>
      <c r="B5" s="8">
        <v>5</v>
      </c>
      <c r="C5" s="9">
        <v>32.520000000000003</v>
      </c>
      <c r="D5" s="10">
        <v>162.6</v>
      </c>
      <c r="E5" s="11">
        <v>37.4</v>
      </c>
      <c r="F5" s="10">
        <v>200</v>
      </c>
      <c r="J5" s="44" t="s">
        <v>15</v>
      </c>
      <c r="K5" s="45">
        <v>6</v>
      </c>
      <c r="L5" s="46" t="s">
        <v>56</v>
      </c>
      <c r="M5" s="45">
        <v>45.52</v>
      </c>
      <c r="N5" s="45">
        <v>1.6</v>
      </c>
      <c r="O5" s="43">
        <v>274.72000000000003</v>
      </c>
      <c r="P5" s="43">
        <v>63.19</v>
      </c>
      <c r="Q5" s="43">
        <v>337.91</v>
      </c>
    </row>
    <row r="6" spans="1:21" ht="15.6" x14ac:dyDescent="0.3">
      <c r="A6" s="8" t="s">
        <v>10</v>
      </c>
      <c r="B6" s="8">
        <v>8</v>
      </c>
      <c r="C6" s="9">
        <v>48.78</v>
      </c>
      <c r="D6" s="10">
        <v>390.24</v>
      </c>
      <c r="E6" s="11">
        <v>89.76</v>
      </c>
      <c r="F6" s="10">
        <v>480</v>
      </c>
      <c r="J6" s="44" t="s">
        <v>10</v>
      </c>
      <c r="K6" s="46">
        <v>6</v>
      </c>
      <c r="L6" s="46" t="s">
        <v>57</v>
      </c>
      <c r="M6" s="46">
        <v>48.78</v>
      </c>
      <c r="N6" s="46">
        <v>1.8</v>
      </c>
      <c r="O6" s="43">
        <v>294.48</v>
      </c>
      <c r="P6" s="43">
        <v>67.73</v>
      </c>
      <c r="Q6" s="43">
        <v>362.21</v>
      </c>
    </row>
    <row r="7" spans="1:21" ht="15.6" x14ac:dyDescent="0.3">
      <c r="A7" s="8" t="s">
        <v>11</v>
      </c>
      <c r="B7" s="8">
        <v>6</v>
      </c>
      <c r="C7" s="9">
        <v>36.590000000000003</v>
      </c>
      <c r="D7" s="10">
        <v>219.54</v>
      </c>
      <c r="E7" s="11">
        <v>50.49</v>
      </c>
      <c r="F7" s="10">
        <v>270.02999999999997</v>
      </c>
      <c r="J7" s="44" t="s">
        <v>42</v>
      </c>
      <c r="K7" s="45">
        <v>5</v>
      </c>
      <c r="L7" s="46" t="s">
        <v>58</v>
      </c>
      <c r="M7" s="45">
        <v>36.590000000000003</v>
      </c>
      <c r="N7" s="45">
        <v>1.8</v>
      </c>
      <c r="O7" s="43">
        <v>184.75</v>
      </c>
      <c r="P7" s="43">
        <v>42.49</v>
      </c>
      <c r="Q7" s="43">
        <v>227.24</v>
      </c>
    </row>
    <row r="8" spans="1:21" ht="15.6" x14ac:dyDescent="0.3">
      <c r="A8" s="8" t="s">
        <v>12</v>
      </c>
      <c r="B8" s="8">
        <v>11</v>
      </c>
      <c r="C8" s="10">
        <v>28.46</v>
      </c>
      <c r="D8" s="10">
        <v>313.06</v>
      </c>
      <c r="E8" s="11">
        <v>72</v>
      </c>
      <c r="F8" s="10">
        <v>385.06</v>
      </c>
      <c r="J8" s="44" t="s">
        <v>11</v>
      </c>
      <c r="K8" s="46">
        <v>5</v>
      </c>
      <c r="L8" s="46" t="s">
        <v>59</v>
      </c>
      <c r="M8" s="46">
        <v>36.51</v>
      </c>
      <c r="N8" s="46">
        <v>1.8</v>
      </c>
      <c r="O8" s="43">
        <v>184.35</v>
      </c>
      <c r="P8" s="43">
        <v>42.4</v>
      </c>
      <c r="Q8" s="43">
        <v>225.23</v>
      </c>
    </row>
    <row r="9" spans="1:21" ht="15.6" x14ac:dyDescent="0.3">
      <c r="A9" s="8" t="s">
        <v>13</v>
      </c>
      <c r="B9" s="8">
        <v>5</v>
      </c>
      <c r="C9" s="9">
        <v>36.590000000000003</v>
      </c>
      <c r="D9" s="10">
        <v>182.95</v>
      </c>
      <c r="E9" s="11">
        <v>42.08</v>
      </c>
      <c r="F9" s="10">
        <v>225.03</v>
      </c>
      <c r="J9" s="44" t="s">
        <v>43</v>
      </c>
      <c r="K9" s="45">
        <v>6</v>
      </c>
      <c r="L9" s="46" t="s">
        <v>59</v>
      </c>
      <c r="M9" s="45">
        <v>48.78</v>
      </c>
      <c r="N9" s="45">
        <v>1.8</v>
      </c>
      <c r="O9" s="43">
        <v>294.48</v>
      </c>
      <c r="P9" s="43">
        <v>67.73</v>
      </c>
      <c r="Q9" s="43">
        <v>362.21</v>
      </c>
    </row>
    <row r="10" spans="1:21" ht="15.6" x14ac:dyDescent="0.3">
      <c r="A10" s="8" t="s">
        <v>14</v>
      </c>
      <c r="B10" s="8">
        <v>6</v>
      </c>
      <c r="C10" s="9">
        <v>24.39</v>
      </c>
      <c r="D10" s="10">
        <v>146.34</v>
      </c>
      <c r="E10" s="11">
        <v>33.659999999999997</v>
      </c>
      <c r="F10" s="10">
        <v>180</v>
      </c>
      <c r="J10" s="44" t="s">
        <v>12</v>
      </c>
      <c r="K10" s="46">
        <v>4</v>
      </c>
      <c r="L10" s="46" t="s">
        <v>60</v>
      </c>
      <c r="M10" s="46">
        <v>28.46</v>
      </c>
      <c r="N10" s="46">
        <v>2.8</v>
      </c>
      <c r="O10" s="43">
        <v>116.64</v>
      </c>
      <c r="P10" s="43">
        <v>26.83</v>
      </c>
      <c r="Q10" s="43">
        <v>143.47</v>
      </c>
    </row>
    <row r="11" spans="1:21" ht="15.6" x14ac:dyDescent="0.3">
      <c r="A11" s="8" t="s">
        <v>15</v>
      </c>
      <c r="B11" s="8">
        <v>10</v>
      </c>
      <c r="C11" s="9">
        <v>45.52</v>
      </c>
      <c r="D11" s="10">
        <v>455.2</v>
      </c>
      <c r="E11" s="11">
        <v>104.7</v>
      </c>
      <c r="F11" s="10">
        <v>559.9</v>
      </c>
      <c r="J11" s="44" t="s">
        <v>44</v>
      </c>
      <c r="K11" s="45">
        <v>7</v>
      </c>
      <c r="L11" s="46" t="s">
        <v>60</v>
      </c>
      <c r="M11" s="45">
        <v>47.15</v>
      </c>
      <c r="N11" s="45">
        <v>2.8</v>
      </c>
      <c r="O11" s="43">
        <v>332.85</v>
      </c>
      <c r="P11" s="43">
        <v>76.56</v>
      </c>
      <c r="Q11" s="43">
        <v>409.41</v>
      </c>
    </row>
    <row r="12" spans="1:21" ht="15.6" x14ac:dyDescent="0.3">
      <c r="A12" s="8" t="s">
        <v>16</v>
      </c>
      <c r="B12" s="8">
        <v>4</v>
      </c>
      <c r="C12" s="9">
        <v>40.65</v>
      </c>
      <c r="D12" s="10">
        <v>162.6</v>
      </c>
      <c r="E12" s="11">
        <v>37.4</v>
      </c>
      <c r="F12" s="10">
        <v>200</v>
      </c>
      <c r="J12" s="44" t="s">
        <v>24</v>
      </c>
      <c r="K12" s="46">
        <v>6</v>
      </c>
      <c r="L12" s="46" t="s">
        <v>61</v>
      </c>
      <c r="M12" s="46">
        <v>48.78</v>
      </c>
      <c r="N12" s="46">
        <v>2.4</v>
      </c>
      <c r="O12" s="43">
        <v>295.08</v>
      </c>
      <c r="P12" s="43">
        <v>67.87</v>
      </c>
      <c r="Q12" s="43">
        <v>362.95</v>
      </c>
    </row>
    <row r="13" spans="1:21" ht="15.6" x14ac:dyDescent="0.3">
      <c r="A13" s="8" t="s">
        <v>17</v>
      </c>
      <c r="B13" s="8">
        <v>4</v>
      </c>
      <c r="C13" s="9">
        <v>28.46</v>
      </c>
      <c r="D13" s="10">
        <v>113.84</v>
      </c>
      <c r="E13" s="11">
        <v>26.18</v>
      </c>
      <c r="F13" s="10">
        <v>140.02000000000001</v>
      </c>
      <c r="J13" s="44" t="s">
        <v>45</v>
      </c>
      <c r="K13" s="45">
        <v>6</v>
      </c>
      <c r="L13" s="46" t="s">
        <v>61</v>
      </c>
      <c r="M13" s="45">
        <v>48.78</v>
      </c>
      <c r="N13" s="45">
        <v>2.4</v>
      </c>
      <c r="O13" s="43">
        <v>295.08</v>
      </c>
      <c r="P13" s="43">
        <v>67.87</v>
      </c>
      <c r="Q13" s="43">
        <v>362.95</v>
      </c>
    </row>
    <row r="14" spans="1:21" ht="15.6" x14ac:dyDescent="0.3">
      <c r="A14" s="12" t="s">
        <v>18</v>
      </c>
      <c r="B14" s="12">
        <v>6</v>
      </c>
      <c r="C14" s="13">
        <v>16.260000000000002</v>
      </c>
      <c r="D14" s="10">
        <v>97.56</v>
      </c>
      <c r="E14" s="11">
        <v>22.44</v>
      </c>
      <c r="F14" s="10">
        <v>120</v>
      </c>
      <c r="J14" s="44" t="s">
        <v>25</v>
      </c>
      <c r="K14" s="46">
        <v>4</v>
      </c>
      <c r="L14" s="46" t="s">
        <v>62</v>
      </c>
      <c r="M14" s="46">
        <v>44.72</v>
      </c>
      <c r="N14" s="46">
        <v>4</v>
      </c>
      <c r="O14" s="43">
        <v>182.88</v>
      </c>
      <c r="P14" s="43">
        <v>42.06</v>
      </c>
      <c r="Q14" s="43">
        <v>224.94</v>
      </c>
    </row>
    <row r="15" spans="1:21" ht="15.6" x14ac:dyDescent="0.3">
      <c r="A15" s="8" t="s">
        <v>19</v>
      </c>
      <c r="B15" s="8">
        <v>5</v>
      </c>
      <c r="C15" s="9">
        <v>12.2</v>
      </c>
      <c r="D15" s="10">
        <v>61</v>
      </c>
      <c r="E15" s="11">
        <v>14.03</v>
      </c>
      <c r="F15" s="10">
        <v>75.03</v>
      </c>
      <c r="J15" s="44" t="s">
        <v>31</v>
      </c>
      <c r="K15" s="45">
        <v>6</v>
      </c>
      <c r="L15" s="46" t="s">
        <v>62</v>
      </c>
      <c r="M15" s="45">
        <v>45.53</v>
      </c>
      <c r="N15" s="45">
        <v>4</v>
      </c>
      <c r="O15" s="43">
        <v>277.18</v>
      </c>
      <c r="P15" s="43">
        <v>63.75</v>
      </c>
      <c r="Q15" s="43">
        <v>340.93</v>
      </c>
    </row>
    <row r="16" spans="1:21" ht="15.6" x14ac:dyDescent="0.3">
      <c r="A16" s="8" t="s">
        <v>20</v>
      </c>
      <c r="B16" s="8">
        <v>10</v>
      </c>
      <c r="C16" s="9">
        <v>24.39</v>
      </c>
      <c r="D16" s="10">
        <v>243.9</v>
      </c>
      <c r="E16" s="11">
        <v>56.1</v>
      </c>
      <c r="F16" s="10">
        <v>300</v>
      </c>
      <c r="J16" s="44" t="s">
        <v>26</v>
      </c>
      <c r="K16" s="46">
        <v>6</v>
      </c>
      <c r="L16" s="46" t="s">
        <v>63</v>
      </c>
      <c r="M16" s="46">
        <v>40.65</v>
      </c>
      <c r="N16" s="46">
        <v>3.5</v>
      </c>
      <c r="O16" s="43">
        <v>247.4</v>
      </c>
      <c r="P16" s="43">
        <v>56.9</v>
      </c>
      <c r="Q16" s="43">
        <v>304.3</v>
      </c>
    </row>
    <row r="17" spans="1:17" ht="15.6" x14ac:dyDescent="0.3">
      <c r="A17" s="14" t="s">
        <v>21</v>
      </c>
      <c r="B17" s="14">
        <v>6</v>
      </c>
      <c r="C17" s="15">
        <v>8.1300000000000008</v>
      </c>
      <c r="D17" s="10">
        <v>48.78</v>
      </c>
      <c r="E17" s="11">
        <v>11.22</v>
      </c>
      <c r="F17" s="10">
        <v>60</v>
      </c>
      <c r="J17" s="44" t="s">
        <v>27</v>
      </c>
      <c r="K17" s="45">
        <v>5</v>
      </c>
      <c r="L17" s="46" t="s">
        <v>63</v>
      </c>
      <c r="M17" s="45">
        <v>40.65</v>
      </c>
      <c r="N17" s="45">
        <v>3.5</v>
      </c>
      <c r="O17" s="43">
        <v>206.75</v>
      </c>
      <c r="P17" s="43">
        <v>47.55</v>
      </c>
      <c r="Q17" s="43">
        <v>254.3</v>
      </c>
    </row>
    <row r="18" spans="1:17" ht="15.6" x14ac:dyDescent="0.3">
      <c r="A18" s="8" t="s">
        <v>22</v>
      </c>
      <c r="B18" s="8">
        <v>10</v>
      </c>
      <c r="C18" s="9">
        <v>12.2</v>
      </c>
      <c r="D18" s="10">
        <v>122</v>
      </c>
      <c r="E18" s="11">
        <v>28.06</v>
      </c>
      <c r="F18" s="10">
        <v>150.06</v>
      </c>
      <c r="J18" s="44" t="s">
        <v>13</v>
      </c>
      <c r="K18" s="46">
        <v>6</v>
      </c>
      <c r="L18" s="46" t="s">
        <v>64</v>
      </c>
      <c r="M18" s="46">
        <v>36.590000000000003</v>
      </c>
      <c r="N18" s="46">
        <v>4.0999999999999996</v>
      </c>
      <c r="O18" s="43">
        <v>223.64</v>
      </c>
      <c r="P18" s="43">
        <v>51.44</v>
      </c>
      <c r="Q18" s="43">
        <v>275.08</v>
      </c>
    </row>
    <row r="19" spans="1:17" ht="15.6" x14ac:dyDescent="0.3">
      <c r="A19" s="8" t="s">
        <v>23</v>
      </c>
      <c r="B19" s="8">
        <v>12</v>
      </c>
      <c r="C19" s="9">
        <v>4.07</v>
      </c>
      <c r="D19" s="10">
        <v>48.84</v>
      </c>
      <c r="E19" s="11">
        <v>11.23</v>
      </c>
      <c r="F19" s="10">
        <v>60.07</v>
      </c>
      <c r="J19" s="44" t="s">
        <v>32</v>
      </c>
      <c r="K19" s="45">
        <v>6</v>
      </c>
      <c r="L19" s="46" t="s">
        <v>64</v>
      </c>
      <c r="M19" s="45">
        <v>20.329999999999998</v>
      </c>
      <c r="N19" s="45">
        <v>4.0999999999999996</v>
      </c>
      <c r="O19" s="43">
        <v>126.08</v>
      </c>
      <c r="P19" s="43">
        <v>29</v>
      </c>
      <c r="Q19" s="43">
        <v>155.08000000000001</v>
      </c>
    </row>
    <row r="20" spans="1:17" ht="15.6" x14ac:dyDescent="0.3">
      <c r="A20" s="8" t="s">
        <v>24</v>
      </c>
      <c r="B20" s="8">
        <v>8</v>
      </c>
      <c r="C20" s="9">
        <v>48.78</v>
      </c>
      <c r="D20" s="10">
        <v>390.24</v>
      </c>
      <c r="E20" s="11">
        <v>89.76</v>
      </c>
      <c r="F20" s="10">
        <v>480</v>
      </c>
      <c r="J20" s="44" t="s">
        <v>39</v>
      </c>
      <c r="K20" s="46">
        <v>5</v>
      </c>
      <c r="L20" s="46" t="s">
        <v>64</v>
      </c>
      <c r="M20" s="46">
        <v>40.65</v>
      </c>
      <c r="N20" s="46">
        <v>4.0999999999999996</v>
      </c>
      <c r="O20" s="43">
        <v>207.35</v>
      </c>
      <c r="P20" s="43">
        <v>47.69</v>
      </c>
      <c r="Q20" s="43">
        <v>255.04</v>
      </c>
    </row>
    <row r="21" spans="1:17" ht="15.6" x14ac:dyDescent="0.3">
      <c r="A21" s="8" t="s">
        <v>25</v>
      </c>
      <c r="B21" s="8">
        <v>4</v>
      </c>
      <c r="C21" s="9">
        <v>44.72</v>
      </c>
      <c r="D21" s="10">
        <v>178.88</v>
      </c>
      <c r="E21" s="11">
        <v>41.14</v>
      </c>
      <c r="F21" s="10">
        <v>220.02</v>
      </c>
      <c r="J21" s="44" t="s">
        <v>14</v>
      </c>
      <c r="K21" s="45">
        <v>5</v>
      </c>
      <c r="L21" s="46" t="s">
        <v>65</v>
      </c>
      <c r="M21" s="45">
        <v>24.39</v>
      </c>
      <c r="N21" s="45">
        <v>4</v>
      </c>
      <c r="O21" s="43">
        <v>125.95</v>
      </c>
      <c r="P21" s="43">
        <v>28.97</v>
      </c>
      <c r="Q21" s="43">
        <v>154.91999999999999</v>
      </c>
    </row>
    <row r="22" spans="1:17" ht="15.6" x14ac:dyDescent="0.3">
      <c r="A22" s="8" t="s">
        <v>26</v>
      </c>
      <c r="B22" s="12">
        <v>10</v>
      </c>
      <c r="C22" s="9">
        <v>40.65</v>
      </c>
      <c r="D22" s="10">
        <v>406.5</v>
      </c>
      <c r="E22" s="11">
        <v>93.5</v>
      </c>
      <c r="F22" s="10">
        <v>500</v>
      </c>
      <c r="J22" s="44" t="s">
        <v>28</v>
      </c>
      <c r="K22" s="46">
        <v>6</v>
      </c>
      <c r="L22" s="46" t="s">
        <v>65</v>
      </c>
      <c r="M22" s="46">
        <v>24.39</v>
      </c>
      <c r="N22" s="46">
        <v>4</v>
      </c>
      <c r="O22" s="43">
        <v>150.34</v>
      </c>
      <c r="P22" s="43">
        <v>34.58</v>
      </c>
      <c r="Q22" s="43">
        <v>184.92</v>
      </c>
    </row>
    <row r="23" spans="1:17" ht="15.6" x14ac:dyDescent="0.3">
      <c r="A23" s="16" t="s">
        <v>27</v>
      </c>
      <c r="B23" s="12">
        <v>6</v>
      </c>
      <c r="C23" s="17">
        <v>40.65</v>
      </c>
      <c r="D23" s="18">
        <v>243.9</v>
      </c>
      <c r="E23" s="19">
        <v>56.1</v>
      </c>
      <c r="F23" s="18">
        <v>300</v>
      </c>
      <c r="J23" s="44" t="s">
        <v>40</v>
      </c>
      <c r="K23" s="47">
        <v>6</v>
      </c>
      <c r="L23" s="46" t="s">
        <v>65</v>
      </c>
      <c r="M23" s="47">
        <v>20.329999999999998</v>
      </c>
      <c r="N23" s="47">
        <v>4</v>
      </c>
      <c r="O23" s="43">
        <v>125.98</v>
      </c>
      <c r="P23" s="43">
        <v>28.98</v>
      </c>
      <c r="Q23" s="43">
        <v>150.19</v>
      </c>
    </row>
    <row r="24" spans="1:17" ht="15.6" x14ac:dyDescent="0.3">
      <c r="A24" s="8" t="s">
        <v>28</v>
      </c>
      <c r="B24" s="8">
        <v>9</v>
      </c>
      <c r="C24" s="9">
        <v>24.39</v>
      </c>
      <c r="D24" s="10">
        <v>219.51</v>
      </c>
      <c r="E24" s="10">
        <v>50.49</v>
      </c>
      <c r="F24" s="10">
        <v>270</v>
      </c>
      <c r="J24" s="48" t="s">
        <v>66</v>
      </c>
      <c r="K24" s="48">
        <v>111</v>
      </c>
      <c r="L24" s="48"/>
      <c r="M24" s="49">
        <v>760.1</v>
      </c>
      <c r="N24" s="49">
        <v>60.1</v>
      </c>
      <c r="O24" s="49">
        <v>4310.18</v>
      </c>
      <c r="P24" s="49">
        <v>991.34</v>
      </c>
      <c r="Q24" s="49">
        <v>5295.24</v>
      </c>
    </row>
    <row r="25" spans="1:17" x14ac:dyDescent="0.3">
      <c r="A25" s="20" t="s">
        <v>29</v>
      </c>
      <c r="B25" s="21">
        <v>145</v>
      </c>
      <c r="C25" s="22">
        <v>598.4</v>
      </c>
      <c r="D25" s="22">
        <v>4207.4799999999996</v>
      </c>
      <c r="E25" s="22">
        <v>967.72</v>
      </c>
      <c r="F25" s="22">
        <v>5175.2</v>
      </c>
    </row>
    <row r="26" spans="1:17" x14ac:dyDescent="0.3">
      <c r="J26" s="55" t="s">
        <v>30</v>
      </c>
      <c r="K26" s="56"/>
      <c r="L26" s="56"/>
      <c r="M26" s="56"/>
      <c r="N26" s="56"/>
      <c r="O26" s="56"/>
      <c r="P26" s="56"/>
      <c r="Q26" s="57"/>
    </row>
    <row r="27" spans="1:17" x14ac:dyDescent="0.3">
      <c r="A27" s="29" t="s">
        <v>30</v>
      </c>
      <c r="B27" s="29" t="s">
        <v>3</v>
      </c>
      <c r="C27" s="29" t="s">
        <v>4</v>
      </c>
      <c r="D27" s="29" t="s">
        <v>5</v>
      </c>
      <c r="E27" s="29" t="s">
        <v>6</v>
      </c>
      <c r="F27" s="29" t="s">
        <v>7</v>
      </c>
      <c r="J27" s="40" t="s">
        <v>47</v>
      </c>
      <c r="K27" s="40" t="s">
        <v>48</v>
      </c>
      <c r="L27" s="40" t="s">
        <v>49</v>
      </c>
      <c r="M27" s="40" t="s">
        <v>50</v>
      </c>
      <c r="N27" s="40" t="s">
        <v>51</v>
      </c>
      <c r="O27" s="40" t="s">
        <v>52</v>
      </c>
      <c r="P27" s="40" t="s">
        <v>53</v>
      </c>
      <c r="Q27" s="40" t="s">
        <v>54</v>
      </c>
    </row>
    <row r="28" spans="1:17" x14ac:dyDescent="0.3">
      <c r="A28" s="30" t="s">
        <v>31</v>
      </c>
      <c r="B28" s="31">
        <v>6</v>
      </c>
      <c r="C28" s="5">
        <v>45.53</v>
      </c>
      <c r="D28" s="10">
        <v>273.18</v>
      </c>
      <c r="E28" s="10">
        <v>62.83</v>
      </c>
      <c r="F28" s="10">
        <v>336.01</v>
      </c>
      <c r="J28" s="50" t="s">
        <v>9</v>
      </c>
      <c r="K28" s="41">
        <v>12</v>
      </c>
      <c r="L28" s="30" t="s">
        <v>55</v>
      </c>
      <c r="M28" s="51">
        <v>32.520000000000003</v>
      </c>
      <c r="N28" s="51">
        <v>1.6</v>
      </c>
      <c r="O28" s="5">
        <v>391.84</v>
      </c>
      <c r="P28" s="5">
        <v>90.12</v>
      </c>
      <c r="Q28" s="5">
        <v>481.96</v>
      </c>
    </row>
    <row r="29" spans="1:17" x14ac:dyDescent="0.3">
      <c r="A29" s="32" t="s">
        <v>27</v>
      </c>
      <c r="B29" s="32">
        <v>4</v>
      </c>
      <c r="C29" s="10">
        <v>40.65</v>
      </c>
      <c r="D29" s="10">
        <v>162.6</v>
      </c>
      <c r="E29" s="10">
        <v>37.4</v>
      </c>
      <c r="F29" s="10">
        <v>200</v>
      </c>
      <c r="J29" s="50" t="s">
        <v>15</v>
      </c>
      <c r="K29" s="30">
        <v>6</v>
      </c>
      <c r="L29" s="30" t="s">
        <v>56</v>
      </c>
      <c r="M29" s="5">
        <v>45.52</v>
      </c>
      <c r="N29" s="5">
        <v>1.6</v>
      </c>
      <c r="O29" s="5">
        <v>274.72000000000003</v>
      </c>
      <c r="P29" s="5">
        <v>63.19</v>
      </c>
      <c r="Q29" s="5">
        <v>337.91</v>
      </c>
    </row>
    <row r="30" spans="1:17" x14ac:dyDescent="0.3">
      <c r="A30" s="30" t="s">
        <v>32</v>
      </c>
      <c r="B30" s="33">
        <v>4</v>
      </c>
      <c r="C30" s="10">
        <v>20.329999999999998</v>
      </c>
      <c r="D30" s="10">
        <v>81.319999999999993</v>
      </c>
      <c r="E30" s="10">
        <v>18.7</v>
      </c>
      <c r="F30" s="10">
        <v>100.02</v>
      </c>
      <c r="J30" s="50" t="s">
        <v>10</v>
      </c>
      <c r="K30" s="30">
        <v>4</v>
      </c>
      <c r="L30" s="30" t="s">
        <v>57</v>
      </c>
      <c r="M30" s="5">
        <v>48.78</v>
      </c>
      <c r="N30" s="5">
        <v>1.8</v>
      </c>
      <c r="O30" s="5">
        <v>196.92</v>
      </c>
      <c r="P30" s="5">
        <v>45.29</v>
      </c>
      <c r="Q30" s="5">
        <v>242.21</v>
      </c>
    </row>
    <row r="31" spans="1:17" x14ac:dyDescent="0.3">
      <c r="A31" s="34" t="s">
        <v>22</v>
      </c>
      <c r="B31" s="30">
        <v>5</v>
      </c>
      <c r="C31" s="10">
        <v>12.2</v>
      </c>
      <c r="D31" s="10">
        <v>61</v>
      </c>
      <c r="E31" s="10">
        <v>14.03</v>
      </c>
      <c r="F31" s="10">
        <v>75.03</v>
      </c>
      <c r="J31" s="50" t="s">
        <v>42</v>
      </c>
      <c r="K31" s="30">
        <v>8</v>
      </c>
      <c r="L31" s="30" t="s">
        <v>58</v>
      </c>
      <c r="M31" s="5">
        <v>36.590000000000003</v>
      </c>
      <c r="N31" s="5">
        <v>1.8</v>
      </c>
      <c r="O31" s="5">
        <v>294.52</v>
      </c>
      <c r="P31" s="5">
        <v>67.739999999999995</v>
      </c>
      <c r="Q31" s="5">
        <v>362.26</v>
      </c>
    </row>
    <row r="32" spans="1:17" x14ac:dyDescent="0.3">
      <c r="A32" s="35" t="s">
        <v>33</v>
      </c>
      <c r="B32" s="36">
        <v>7</v>
      </c>
      <c r="C32" s="10">
        <v>13.82</v>
      </c>
      <c r="D32" s="10">
        <v>96.74</v>
      </c>
      <c r="E32" s="10">
        <v>22.25</v>
      </c>
      <c r="F32" s="10">
        <v>118.99</v>
      </c>
      <c r="J32" s="50" t="s">
        <v>11</v>
      </c>
      <c r="K32" s="30">
        <v>11</v>
      </c>
      <c r="L32" s="30" t="s">
        <v>59</v>
      </c>
      <c r="M32" s="5">
        <v>36.590000000000003</v>
      </c>
      <c r="N32" s="5">
        <v>1.8</v>
      </c>
      <c r="O32" s="5">
        <v>404.29</v>
      </c>
      <c r="P32" s="5">
        <v>92.99</v>
      </c>
      <c r="Q32" s="5">
        <v>497.28</v>
      </c>
    </row>
    <row r="33" spans="1:17" x14ac:dyDescent="0.3">
      <c r="A33" s="30" t="s">
        <v>34</v>
      </c>
      <c r="B33" s="30">
        <v>4</v>
      </c>
      <c r="C33" s="10">
        <v>36.590000000000003</v>
      </c>
      <c r="D33" s="10">
        <v>146.36000000000001</v>
      </c>
      <c r="E33" s="10">
        <v>33.659999999999997</v>
      </c>
      <c r="F33" s="10">
        <v>180.02</v>
      </c>
      <c r="J33" s="50" t="s">
        <v>43</v>
      </c>
      <c r="K33" s="30">
        <v>7</v>
      </c>
      <c r="L33" s="30" t="s">
        <v>59</v>
      </c>
      <c r="M33" s="5">
        <v>48.78</v>
      </c>
      <c r="N33" s="5">
        <v>1.8</v>
      </c>
      <c r="O33" s="5">
        <v>343.26</v>
      </c>
      <c r="P33" s="5">
        <v>78.95</v>
      </c>
      <c r="Q33" s="5">
        <v>422.21</v>
      </c>
    </row>
    <row r="34" spans="1:17" x14ac:dyDescent="0.3">
      <c r="A34" s="30" t="s">
        <v>35</v>
      </c>
      <c r="B34" s="30">
        <v>7</v>
      </c>
      <c r="C34" s="10">
        <v>16.260000000000002</v>
      </c>
      <c r="D34" s="10">
        <v>113.82</v>
      </c>
      <c r="E34" s="10">
        <v>26.18</v>
      </c>
      <c r="F34" s="10">
        <v>140</v>
      </c>
      <c r="J34" s="50" t="s">
        <v>12</v>
      </c>
      <c r="K34" s="30">
        <v>6</v>
      </c>
      <c r="L34" s="30" t="s">
        <v>60</v>
      </c>
      <c r="M34" s="5">
        <v>28.46</v>
      </c>
      <c r="N34" s="5">
        <v>2.8</v>
      </c>
      <c r="O34" s="5">
        <v>173.56</v>
      </c>
      <c r="P34" s="5">
        <v>39.92</v>
      </c>
      <c r="Q34" s="5">
        <v>213.48</v>
      </c>
    </row>
    <row r="35" spans="1:17" x14ac:dyDescent="0.3">
      <c r="A35" s="30" t="s">
        <v>36</v>
      </c>
      <c r="B35" s="30">
        <v>7</v>
      </c>
      <c r="C35" s="10">
        <v>32.520000000000003</v>
      </c>
      <c r="D35" s="10">
        <v>227.64</v>
      </c>
      <c r="E35" s="10">
        <v>52.36</v>
      </c>
      <c r="F35" s="10">
        <v>280</v>
      </c>
      <c r="J35" s="50" t="s">
        <v>44</v>
      </c>
      <c r="K35" s="30">
        <v>5</v>
      </c>
      <c r="L35" s="30" t="s">
        <v>60</v>
      </c>
      <c r="M35" s="5">
        <v>47.15</v>
      </c>
      <c r="N35" s="5">
        <v>2.8</v>
      </c>
      <c r="O35" s="5">
        <v>238.55</v>
      </c>
      <c r="P35" s="5">
        <v>54.87</v>
      </c>
      <c r="Q35" s="5">
        <v>293.42</v>
      </c>
    </row>
    <row r="36" spans="1:17" x14ac:dyDescent="0.3">
      <c r="A36" s="30" t="s">
        <v>22</v>
      </c>
      <c r="B36" s="30">
        <v>8</v>
      </c>
      <c r="C36" s="10">
        <v>12.2</v>
      </c>
      <c r="D36" s="10">
        <v>97.6</v>
      </c>
      <c r="E36" s="10">
        <v>22.45</v>
      </c>
      <c r="F36" s="10">
        <v>120.05</v>
      </c>
      <c r="J36" s="50" t="s">
        <v>24</v>
      </c>
      <c r="K36" s="30">
        <v>6</v>
      </c>
      <c r="L36" s="30" t="s">
        <v>61</v>
      </c>
      <c r="M36" s="5">
        <v>48.78</v>
      </c>
      <c r="N36" s="5">
        <v>2.4</v>
      </c>
      <c r="O36" s="5">
        <v>295.08</v>
      </c>
      <c r="P36" s="5">
        <v>67.87</v>
      </c>
      <c r="Q36" s="5">
        <v>362.95</v>
      </c>
    </row>
    <row r="37" spans="1:17" x14ac:dyDescent="0.3">
      <c r="A37" s="30" t="s">
        <v>23</v>
      </c>
      <c r="B37" s="30">
        <v>5</v>
      </c>
      <c r="C37" s="10">
        <v>4.07</v>
      </c>
      <c r="D37" s="10">
        <v>20.350000000000001</v>
      </c>
      <c r="E37" s="10">
        <v>4.68</v>
      </c>
      <c r="F37" s="10">
        <v>25.03</v>
      </c>
      <c r="J37" s="50" t="s">
        <v>45</v>
      </c>
      <c r="K37" s="30">
        <v>4</v>
      </c>
      <c r="L37" s="30" t="s">
        <v>61</v>
      </c>
      <c r="M37" s="5">
        <v>48.78</v>
      </c>
      <c r="N37" s="5">
        <v>2.4</v>
      </c>
      <c r="O37" s="5">
        <v>197.52</v>
      </c>
      <c r="P37" s="5">
        <v>45.43</v>
      </c>
      <c r="Q37" s="5">
        <v>242.95</v>
      </c>
    </row>
    <row r="38" spans="1:17" x14ac:dyDescent="0.3">
      <c r="A38" s="30" t="s">
        <v>37</v>
      </c>
      <c r="B38" s="30">
        <v>5</v>
      </c>
      <c r="C38" s="10">
        <v>16.260000000000002</v>
      </c>
      <c r="D38" s="10">
        <v>81.3</v>
      </c>
      <c r="E38" s="10">
        <v>18.7</v>
      </c>
      <c r="F38" s="10">
        <v>100</v>
      </c>
      <c r="J38" s="50" t="s">
        <v>25</v>
      </c>
      <c r="K38" s="30">
        <v>5</v>
      </c>
      <c r="L38" s="30" t="s">
        <v>62</v>
      </c>
      <c r="M38" s="5">
        <v>44.72</v>
      </c>
      <c r="N38" s="5">
        <v>4</v>
      </c>
      <c r="O38" s="5">
        <v>227.6</v>
      </c>
      <c r="P38" s="5">
        <v>52.35</v>
      </c>
      <c r="Q38" s="5">
        <v>279.95</v>
      </c>
    </row>
    <row r="39" spans="1:17" x14ac:dyDescent="0.3">
      <c r="A39" s="30" t="s">
        <v>38</v>
      </c>
      <c r="B39" s="30">
        <v>8</v>
      </c>
      <c r="C39" s="10">
        <v>36.590000000000003</v>
      </c>
      <c r="D39" s="10">
        <v>292.72000000000003</v>
      </c>
      <c r="E39" s="10">
        <v>67.33</v>
      </c>
      <c r="F39" s="10">
        <v>360.05</v>
      </c>
      <c r="J39" s="50" t="s">
        <v>31</v>
      </c>
      <c r="K39" s="30">
        <v>5</v>
      </c>
      <c r="L39" s="30" t="s">
        <v>62</v>
      </c>
      <c r="M39" s="5">
        <v>45.53</v>
      </c>
      <c r="N39" s="5">
        <v>4</v>
      </c>
      <c r="O39" s="5">
        <v>231.65</v>
      </c>
      <c r="P39" s="5">
        <v>53.28</v>
      </c>
      <c r="Q39" s="5">
        <v>284.93</v>
      </c>
    </row>
    <row r="40" spans="1:17" x14ac:dyDescent="0.3">
      <c r="A40" s="30" t="s">
        <v>39</v>
      </c>
      <c r="B40" s="30">
        <v>9</v>
      </c>
      <c r="C40" s="10">
        <v>40.65</v>
      </c>
      <c r="D40" s="10">
        <v>365.85</v>
      </c>
      <c r="E40" s="10">
        <v>84.15</v>
      </c>
      <c r="F40" s="10">
        <v>450</v>
      </c>
      <c r="J40" s="50" t="s">
        <v>26</v>
      </c>
      <c r="K40" s="30">
        <v>4</v>
      </c>
      <c r="L40" s="30" t="s">
        <v>63</v>
      </c>
      <c r="M40" s="5">
        <v>40.65</v>
      </c>
      <c r="N40" s="5">
        <v>3.5</v>
      </c>
      <c r="O40" s="5">
        <v>166.1</v>
      </c>
      <c r="P40" s="5">
        <v>38.200000000000003</v>
      </c>
      <c r="Q40" s="5">
        <v>204.3</v>
      </c>
    </row>
    <row r="41" spans="1:17" x14ac:dyDescent="0.3">
      <c r="A41" s="30" t="s">
        <v>40</v>
      </c>
      <c r="B41" s="30">
        <v>10</v>
      </c>
      <c r="C41" s="10">
        <v>20.329999999999998</v>
      </c>
      <c r="D41" s="10">
        <v>203.3</v>
      </c>
      <c r="E41" s="10">
        <v>46.76</v>
      </c>
      <c r="F41" s="10">
        <v>250.06</v>
      </c>
      <c r="J41" s="50" t="s">
        <v>17</v>
      </c>
      <c r="K41" s="30">
        <v>6</v>
      </c>
      <c r="L41" s="30" t="s">
        <v>57</v>
      </c>
      <c r="M41" s="5">
        <v>28.46</v>
      </c>
      <c r="N41" s="5">
        <v>1.8</v>
      </c>
      <c r="O41" s="5">
        <v>172.56</v>
      </c>
      <c r="P41" s="5">
        <v>39.69</v>
      </c>
      <c r="Q41" s="5">
        <v>212.25</v>
      </c>
    </row>
    <row r="42" spans="1:17" x14ac:dyDescent="0.3">
      <c r="A42" s="30" t="s">
        <v>16</v>
      </c>
      <c r="B42" s="30">
        <v>4</v>
      </c>
      <c r="C42" s="10">
        <v>40.65</v>
      </c>
      <c r="D42" s="10">
        <v>162.6</v>
      </c>
      <c r="E42" s="10">
        <v>37.4</v>
      </c>
      <c r="F42" s="10">
        <v>200</v>
      </c>
      <c r="J42" s="50" t="s">
        <v>18</v>
      </c>
      <c r="K42" s="30">
        <v>4</v>
      </c>
      <c r="L42" s="30" t="s">
        <v>67</v>
      </c>
      <c r="M42" s="5">
        <v>16.260000000000002</v>
      </c>
      <c r="N42" s="5">
        <v>1.8</v>
      </c>
      <c r="O42" s="5">
        <v>66.84</v>
      </c>
      <c r="P42" s="5">
        <v>15.37</v>
      </c>
      <c r="Q42" s="5">
        <v>82.21</v>
      </c>
    </row>
    <row r="43" spans="1:17" x14ac:dyDescent="0.3">
      <c r="A43" s="30" t="s">
        <v>17</v>
      </c>
      <c r="B43" s="30">
        <v>8</v>
      </c>
      <c r="C43" s="10">
        <v>28.46</v>
      </c>
      <c r="D43" s="10">
        <v>227.68</v>
      </c>
      <c r="E43" s="10">
        <v>52.37</v>
      </c>
      <c r="F43" s="10">
        <v>280.05</v>
      </c>
      <c r="J43" s="50" t="s">
        <v>19</v>
      </c>
      <c r="K43" s="30">
        <v>10</v>
      </c>
      <c r="L43" s="30" t="s">
        <v>68</v>
      </c>
      <c r="M43" s="5">
        <v>12.2</v>
      </c>
      <c r="N43" s="5">
        <v>2.8</v>
      </c>
      <c r="O43" s="5">
        <v>124.8</v>
      </c>
      <c r="P43" s="5">
        <v>28.7</v>
      </c>
      <c r="Q43" s="5">
        <v>153.5</v>
      </c>
    </row>
    <row r="44" spans="1:17" x14ac:dyDescent="0.3">
      <c r="A44" s="32" t="s">
        <v>18</v>
      </c>
      <c r="B44" s="32">
        <v>6</v>
      </c>
      <c r="C44" s="10">
        <v>16.260000000000002</v>
      </c>
      <c r="D44" s="10">
        <v>97.56</v>
      </c>
      <c r="E44" s="10">
        <v>22.44</v>
      </c>
      <c r="F44" s="10">
        <v>120</v>
      </c>
      <c r="J44" s="50" t="s">
        <v>20</v>
      </c>
      <c r="K44" s="30">
        <v>6</v>
      </c>
      <c r="L44" s="30" t="s">
        <v>69</v>
      </c>
      <c r="M44" s="5">
        <v>24.39</v>
      </c>
      <c r="N44" s="5">
        <v>2.4</v>
      </c>
      <c r="O44" s="5">
        <v>148.74</v>
      </c>
      <c r="P44" s="5">
        <v>34.21</v>
      </c>
      <c r="Q44" s="5">
        <v>182.95</v>
      </c>
    </row>
    <row r="45" spans="1:17" x14ac:dyDescent="0.3">
      <c r="A45" s="30" t="s">
        <v>19</v>
      </c>
      <c r="B45" s="30">
        <v>7</v>
      </c>
      <c r="C45" s="10">
        <v>12.2</v>
      </c>
      <c r="D45" s="10">
        <v>85.4</v>
      </c>
      <c r="E45" s="10">
        <v>19.64</v>
      </c>
      <c r="F45" s="10">
        <v>105.04</v>
      </c>
      <c r="J45" s="50" t="s">
        <v>70</v>
      </c>
      <c r="K45" s="30">
        <v>5</v>
      </c>
      <c r="L45" s="30" t="s">
        <v>69</v>
      </c>
      <c r="M45" s="5">
        <v>12.2</v>
      </c>
      <c r="N45" s="5">
        <v>2.4</v>
      </c>
      <c r="O45" s="5">
        <v>63.4</v>
      </c>
      <c r="P45" s="5">
        <v>14.58</v>
      </c>
      <c r="Q45" s="5">
        <v>77.98</v>
      </c>
    </row>
    <row r="46" spans="1:17" x14ac:dyDescent="0.3">
      <c r="A46" s="30" t="s">
        <v>20</v>
      </c>
      <c r="B46" s="30">
        <v>9</v>
      </c>
      <c r="C46" s="10">
        <v>24.39</v>
      </c>
      <c r="D46" s="10">
        <v>219.51</v>
      </c>
      <c r="E46" s="10">
        <v>50.49</v>
      </c>
      <c r="F46" s="10">
        <v>270</v>
      </c>
      <c r="J46" s="50" t="s">
        <v>21</v>
      </c>
      <c r="K46" s="30">
        <v>5</v>
      </c>
      <c r="L46" s="30" t="s">
        <v>71</v>
      </c>
      <c r="M46" s="5">
        <v>8.1300000000000008</v>
      </c>
      <c r="N46" s="5">
        <v>4</v>
      </c>
      <c r="O46" s="5">
        <v>44.65</v>
      </c>
      <c r="P46" s="5">
        <v>10.27</v>
      </c>
      <c r="Q46" s="5">
        <v>54.92</v>
      </c>
    </row>
    <row r="47" spans="1:17" x14ac:dyDescent="0.3">
      <c r="A47" s="37" t="s">
        <v>21</v>
      </c>
      <c r="B47" s="36">
        <v>8</v>
      </c>
      <c r="C47" s="18">
        <v>8.1300000000000008</v>
      </c>
      <c r="D47" s="18">
        <v>65.040000000000006</v>
      </c>
      <c r="E47" s="18">
        <v>14.96</v>
      </c>
      <c r="F47" s="18">
        <v>80</v>
      </c>
      <c r="J47" s="50" t="s">
        <v>23</v>
      </c>
      <c r="K47" s="30">
        <v>10</v>
      </c>
      <c r="L47" s="30" t="s">
        <v>72</v>
      </c>
      <c r="M47" s="5">
        <v>4.07</v>
      </c>
      <c r="N47" s="5">
        <v>3.5</v>
      </c>
      <c r="O47" s="5">
        <v>44.2</v>
      </c>
      <c r="P47" s="5">
        <v>10.17</v>
      </c>
      <c r="Q47" s="5">
        <v>54.37</v>
      </c>
    </row>
    <row r="48" spans="1:17" x14ac:dyDescent="0.3">
      <c r="A48" s="32" t="s">
        <v>22</v>
      </c>
      <c r="B48" s="30">
        <v>10</v>
      </c>
      <c r="C48" s="18">
        <v>12.2</v>
      </c>
      <c r="D48" s="18">
        <v>122</v>
      </c>
      <c r="E48" s="18">
        <v>28.06</v>
      </c>
      <c r="F48" s="18">
        <v>150.06</v>
      </c>
      <c r="J48" s="52" t="s">
        <v>73</v>
      </c>
      <c r="K48" s="53">
        <v>129</v>
      </c>
      <c r="L48" s="53"/>
      <c r="M48" s="53">
        <v>654.49</v>
      </c>
      <c r="N48" s="53">
        <v>51</v>
      </c>
      <c r="O48" s="53">
        <v>4100.8</v>
      </c>
      <c r="P48" s="53">
        <v>943.18</v>
      </c>
      <c r="Q48" s="54">
        <v>5043.9799999999996</v>
      </c>
    </row>
    <row r="49" spans="1:17" x14ac:dyDescent="0.3">
      <c r="A49" s="20" t="s">
        <v>29</v>
      </c>
      <c r="B49" s="21">
        <v>141</v>
      </c>
      <c r="C49" s="22">
        <v>490.29</v>
      </c>
      <c r="D49" s="22">
        <v>3203.57</v>
      </c>
      <c r="E49" s="22">
        <v>736.82</v>
      </c>
      <c r="F49" s="22">
        <v>3940.39</v>
      </c>
    </row>
    <row r="50" spans="1:17" x14ac:dyDescent="0.3">
      <c r="J50" s="59" t="s">
        <v>41</v>
      </c>
      <c r="K50" s="60"/>
      <c r="L50" s="60"/>
      <c r="M50" s="60"/>
      <c r="N50" s="60"/>
      <c r="O50" s="60"/>
      <c r="P50" s="60"/>
      <c r="Q50" s="61"/>
    </row>
    <row r="51" spans="1:17" x14ac:dyDescent="0.3">
      <c r="A51" s="38" t="s">
        <v>41</v>
      </c>
      <c r="B51" s="39"/>
      <c r="C51" s="39"/>
      <c r="D51" s="39"/>
      <c r="E51" s="39"/>
      <c r="F51" s="39"/>
      <c r="J51" s="40" t="s">
        <v>47</v>
      </c>
      <c r="K51" s="40" t="s">
        <v>48</v>
      </c>
      <c r="L51" s="40" t="s">
        <v>49</v>
      </c>
      <c r="M51" s="40" t="s">
        <v>50</v>
      </c>
      <c r="N51" s="40" t="s">
        <v>51</v>
      </c>
      <c r="O51" s="40" t="s">
        <v>52</v>
      </c>
      <c r="P51" s="40" t="s">
        <v>53</v>
      </c>
      <c r="Q51" s="40" t="s">
        <v>54</v>
      </c>
    </row>
    <row r="52" spans="1:17" x14ac:dyDescent="0.3">
      <c r="A52" s="4" t="s">
        <v>2</v>
      </c>
      <c r="B52" s="4" t="s">
        <v>3</v>
      </c>
      <c r="C52" s="4" t="s">
        <v>4</v>
      </c>
      <c r="D52" s="4" t="s">
        <v>5</v>
      </c>
      <c r="E52" s="4" t="s">
        <v>6</v>
      </c>
      <c r="F52" s="4" t="s">
        <v>7</v>
      </c>
      <c r="J52" s="50" t="s">
        <v>27</v>
      </c>
      <c r="K52" s="32">
        <v>6</v>
      </c>
      <c r="L52" s="30" t="s">
        <v>63</v>
      </c>
      <c r="M52" s="58">
        <v>40.65</v>
      </c>
      <c r="N52" s="58">
        <v>3.5</v>
      </c>
      <c r="O52" s="5">
        <v>247.4</v>
      </c>
      <c r="P52" s="5">
        <v>56.9</v>
      </c>
      <c r="Q52" s="5">
        <v>304.3</v>
      </c>
    </row>
    <row r="53" spans="1:17" ht="15.6" x14ac:dyDescent="0.3">
      <c r="A53" s="8" t="s">
        <v>9</v>
      </c>
      <c r="B53" s="8">
        <v>6</v>
      </c>
      <c r="C53" s="10">
        <v>32.520000000000003</v>
      </c>
      <c r="D53" s="10">
        <v>195.12</v>
      </c>
      <c r="E53" s="10">
        <v>44.88</v>
      </c>
      <c r="F53" s="10">
        <v>240</v>
      </c>
      <c r="J53" s="50" t="s">
        <v>13</v>
      </c>
      <c r="K53" s="30">
        <v>5</v>
      </c>
      <c r="L53" s="30" t="s">
        <v>64</v>
      </c>
      <c r="M53" s="5">
        <v>36.590000000000003</v>
      </c>
      <c r="N53" s="5">
        <v>4.0999999999999996</v>
      </c>
      <c r="O53" s="5">
        <v>187.05</v>
      </c>
      <c r="P53" s="5">
        <v>43.02</v>
      </c>
      <c r="Q53" s="5">
        <v>230.07</v>
      </c>
    </row>
    <row r="54" spans="1:17" ht="15.6" x14ac:dyDescent="0.3">
      <c r="A54" s="8" t="s">
        <v>10</v>
      </c>
      <c r="B54" s="8">
        <v>4</v>
      </c>
      <c r="C54" s="10">
        <v>48.78</v>
      </c>
      <c r="D54" s="10">
        <v>195.12</v>
      </c>
      <c r="E54" s="10">
        <v>44.88</v>
      </c>
      <c r="F54" s="10">
        <v>240</v>
      </c>
      <c r="J54" s="50" t="s">
        <v>32</v>
      </c>
      <c r="K54" s="30">
        <v>6</v>
      </c>
      <c r="L54" s="30" t="s">
        <v>64</v>
      </c>
      <c r="M54" s="5">
        <v>20.329999999999998</v>
      </c>
      <c r="N54" s="5">
        <v>4.0999999999999996</v>
      </c>
      <c r="O54" s="5">
        <v>126.08</v>
      </c>
      <c r="P54" s="5">
        <v>29</v>
      </c>
      <c r="Q54" s="5">
        <v>155.08000000000001</v>
      </c>
    </row>
    <row r="55" spans="1:17" ht="15.6" x14ac:dyDescent="0.3">
      <c r="A55" s="8" t="s">
        <v>11</v>
      </c>
      <c r="B55" s="8">
        <v>6</v>
      </c>
      <c r="C55" s="10">
        <v>36.590000000000003</v>
      </c>
      <c r="D55" s="10">
        <v>219.54</v>
      </c>
      <c r="E55" s="10">
        <v>50.49</v>
      </c>
      <c r="F55" s="10">
        <v>270.02999999999997</v>
      </c>
      <c r="J55" s="50" t="s">
        <v>39</v>
      </c>
      <c r="K55" s="30">
        <v>6</v>
      </c>
      <c r="L55" s="30" t="s">
        <v>64</v>
      </c>
      <c r="M55" s="5">
        <v>40.65</v>
      </c>
      <c r="N55" s="5">
        <v>4.0999999999999996</v>
      </c>
      <c r="O55" s="5">
        <v>248</v>
      </c>
      <c r="P55" s="5">
        <v>57.04</v>
      </c>
      <c r="Q55" s="5">
        <v>305.04000000000002</v>
      </c>
    </row>
    <row r="56" spans="1:17" ht="15.6" x14ac:dyDescent="0.3">
      <c r="A56" s="8" t="s">
        <v>12</v>
      </c>
      <c r="B56" s="8">
        <v>4</v>
      </c>
      <c r="C56" s="10">
        <v>28.46</v>
      </c>
      <c r="D56" s="10">
        <v>113.84</v>
      </c>
      <c r="E56" s="10">
        <v>26.18</v>
      </c>
      <c r="F56" s="10">
        <v>140.02000000000001</v>
      </c>
      <c r="J56" s="50" t="s">
        <v>39</v>
      </c>
      <c r="K56" s="30">
        <v>6</v>
      </c>
      <c r="L56" s="30" t="s">
        <v>64</v>
      </c>
      <c r="M56" s="5">
        <v>40.65</v>
      </c>
      <c r="N56" s="5">
        <v>4.0999999999999996</v>
      </c>
      <c r="O56" s="5">
        <v>248</v>
      </c>
      <c r="P56" s="5">
        <v>57.04</v>
      </c>
      <c r="Q56" s="5">
        <v>305.04000000000002</v>
      </c>
    </row>
    <row r="57" spans="1:17" ht="15.6" x14ac:dyDescent="0.3">
      <c r="A57" s="8" t="s">
        <v>24</v>
      </c>
      <c r="B57" s="8">
        <v>5</v>
      </c>
      <c r="C57" s="5">
        <v>48.78</v>
      </c>
      <c r="D57" s="10">
        <v>243.9</v>
      </c>
      <c r="E57" s="10">
        <v>56.1</v>
      </c>
      <c r="F57" s="10">
        <v>300</v>
      </c>
      <c r="J57" s="50" t="s">
        <v>14</v>
      </c>
      <c r="K57" s="30">
        <v>7</v>
      </c>
      <c r="L57" s="30" t="s">
        <v>65</v>
      </c>
      <c r="M57" s="5">
        <v>24.39</v>
      </c>
      <c r="N57" s="5">
        <v>4</v>
      </c>
      <c r="O57" s="5">
        <v>174.73</v>
      </c>
      <c r="P57" s="5">
        <v>40.19</v>
      </c>
      <c r="Q57" s="5">
        <v>214.92</v>
      </c>
    </row>
    <row r="58" spans="1:17" ht="15.6" x14ac:dyDescent="0.3">
      <c r="A58" s="8" t="s">
        <v>25</v>
      </c>
      <c r="B58" s="8">
        <v>5</v>
      </c>
      <c r="C58" s="5">
        <v>44.72</v>
      </c>
      <c r="D58" s="10">
        <v>223.6</v>
      </c>
      <c r="E58" s="10">
        <v>51.43</v>
      </c>
      <c r="F58" s="10">
        <v>275.02999999999997</v>
      </c>
      <c r="J58" s="50" t="s">
        <v>28</v>
      </c>
      <c r="K58" s="30">
        <v>5</v>
      </c>
      <c r="L58" s="30" t="s">
        <v>65</v>
      </c>
      <c r="M58" s="5">
        <v>24.39</v>
      </c>
      <c r="N58" s="5">
        <v>4</v>
      </c>
      <c r="O58" s="5">
        <v>125.95</v>
      </c>
      <c r="P58" s="5">
        <v>28.97</v>
      </c>
      <c r="Q58" s="5">
        <v>154.91999999999999</v>
      </c>
    </row>
    <row r="59" spans="1:17" ht="15.6" x14ac:dyDescent="0.3">
      <c r="A59" s="8" t="s">
        <v>26</v>
      </c>
      <c r="B59" s="8">
        <v>4</v>
      </c>
      <c r="C59" s="5">
        <v>40.65</v>
      </c>
      <c r="D59" s="10">
        <v>162.6</v>
      </c>
      <c r="E59" s="10">
        <v>37.4</v>
      </c>
      <c r="F59" s="10">
        <v>200</v>
      </c>
      <c r="J59" s="50" t="s">
        <v>20</v>
      </c>
      <c r="K59" s="30">
        <v>2</v>
      </c>
      <c r="L59" s="30" t="s">
        <v>69</v>
      </c>
      <c r="M59" s="5">
        <v>24.39</v>
      </c>
      <c r="N59" s="5">
        <v>2.4</v>
      </c>
      <c r="O59" s="5">
        <v>51.18</v>
      </c>
      <c r="P59" s="5">
        <v>11.77</v>
      </c>
      <c r="Q59" s="5">
        <v>62.95</v>
      </c>
    </row>
    <row r="60" spans="1:17" ht="15.6" x14ac:dyDescent="0.3">
      <c r="A60" s="8" t="s">
        <v>13</v>
      </c>
      <c r="B60" s="8">
        <v>4</v>
      </c>
      <c r="C60" s="5">
        <v>36.590000000000003</v>
      </c>
      <c r="D60" s="10">
        <v>146.36000000000001</v>
      </c>
      <c r="E60" s="10">
        <v>33.659999999999997</v>
      </c>
      <c r="F60" s="10">
        <v>180.02</v>
      </c>
      <c r="J60" s="50" t="s">
        <v>70</v>
      </c>
      <c r="K60" s="30">
        <v>8</v>
      </c>
      <c r="L60" s="30" t="s">
        <v>69</v>
      </c>
      <c r="M60" s="5">
        <v>12.2</v>
      </c>
      <c r="N60" s="5">
        <v>2.4</v>
      </c>
      <c r="O60" s="5">
        <v>100</v>
      </c>
      <c r="P60" s="5">
        <v>23</v>
      </c>
      <c r="Q60" s="5">
        <v>123</v>
      </c>
    </row>
    <row r="61" spans="1:17" ht="15.6" x14ac:dyDescent="0.3">
      <c r="A61" s="8" t="s">
        <v>14</v>
      </c>
      <c r="B61" s="8">
        <v>11</v>
      </c>
      <c r="C61" s="5">
        <v>24.39</v>
      </c>
      <c r="D61" s="10">
        <v>268.29000000000002</v>
      </c>
      <c r="E61" s="10">
        <v>61.71</v>
      </c>
      <c r="F61" s="10">
        <v>330</v>
      </c>
      <c r="J61" s="50" t="s">
        <v>11</v>
      </c>
      <c r="K61" s="30">
        <v>5</v>
      </c>
      <c r="L61" s="30" t="s">
        <v>59</v>
      </c>
      <c r="M61" s="5">
        <v>36.590000000000003</v>
      </c>
      <c r="N61" s="5">
        <v>1.8</v>
      </c>
      <c r="O61" s="5">
        <v>184.75</v>
      </c>
      <c r="P61" s="5">
        <v>42.49</v>
      </c>
      <c r="Q61" s="5">
        <v>227.24</v>
      </c>
    </row>
    <row r="62" spans="1:17" ht="15.6" x14ac:dyDescent="0.3">
      <c r="A62" s="8" t="s">
        <v>15</v>
      </c>
      <c r="B62" s="8">
        <v>8</v>
      </c>
      <c r="C62" s="5">
        <v>45.52</v>
      </c>
      <c r="D62" s="10">
        <v>364.16</v>
      </c>
      <c r="E62" s="10">
        <v>83.76</v>
      </c>
      <c r="F62" s="10">
        <v>447.92</v>
      </c>
      <c r="J62" s="50" t="s">
        <v>43</v>
      </c>
      <c r="K62" s="30">
        <v>4</v>
      </c>
      <c r="L62" s="30" t="s">
        <v>59</v>
      </c>
      <c r="M62" s="5">
        <v>48.78</v>
      </c>
      <c r="N62" s="5">
        <v>1.8</v>
      </c>
      <c r="O62" s="5">
        <v>196.92</v>
      </c>
      <c r="P62" s="5">
        <v>45.29</v>
      </c>
      <c r="Q62" s="5">
        <v>242.21</v>
      </c>
    </row>
    <row r="63" spans="1:17" ht="15.6" x14ac:dyDescent="0.3">
      <c r="A63" s="8" t="s">
        <v>42</v>
      </c>
      <c r="B63" s="8">
        <v>4</v>
      </c>
      <c r="C63" s="5">
        <v>36.590000000000003</v>
      </c>
      <c r="D63" s="10">
        <v>146.36000000000001</v>
      </c>
      <c r="E63" s="10">
        <v>33.659999999999997</v>
      </c>
      <c r="F63" s="10">
        <v>180.02</v>
      </c>
      <c r="J63" s="50" t="s">
        <v>35</v>
      </c>
      <c r="K63" s="30">
        <v>6</v>
      </c>
      <c r="L63" s="30" t="s">
        <v>59</v>
      </c>
      <c r="M63" s="5">
        <v>16.260000000000002</v>
      </c>
      <c r="N63" s="5">
        <v>1.8</v>
      </c>
      <c r="O63" s="5">
        <v>99.36</v>
      </c>
      <c r="P63" s="5">
        <v>22.85</v>
      </c>
      <c r="Q63" s="5">
        <v>122.21</v>
      </c>
    </row>
    <row r="64" spans="1:17" ht="15.6" x14ac:dyDescent="0.3">
      <c r="A64" s="12" t="s">
        <v>43</v>
      </c>
      <c r="B64" s="8">
        <v>9</v>
      </c>
      <c r="C64" s="5">
        <v>48.78</v>
      </c>
      <c r="D64" s="10">
        <v>439.02</v>
      </c>
      <c r="E64" s="10">
        <v>100.97</v>
      </c>
      <c r="F64" s="10">
        <v>539.99</v>
      </c>
      <c r="J64" s="50" t="s">
        <v>18</v>
      </c>
      <c r="K64" s="30">
        <v>4</v>
      </c>
      <c r="L64" s="30" t="s">
        <v>67</v>
      </c>
      <c r="M64" s="5">
        <v>16.260000000000002</v>
      </c>
      <c r="N64" s="5">
        <v>1.8</v>
      </c>
      <c r="O64" s="5">
        <v>66.84</v>
      </c>
      <c r="P64" s="5">
        <v>15.37</v>
      </c>
      <c r="Q64" s="5">
        <v>82.21</v>
      </c>
    </row>
    <row r="65" spans="1:17" ht="15.6" x14ac:dyDescent="0.3">
      <c r="A65" s="8" t="s">
        <v>44</v>
      </c>
      <c r="B65" s="8">
        <v>8</v>
      </c>
      <c r="C65" s="5">
        <v>47.15</v>
      </c>
      <c r="D65" s="10">
        <v>377.2</v>
      </c>
      <c r="E65" s="10">
        <v>86.76</v>
      </c>
      <c r="F65" s="10">
        <v>463.96</v>
      </c>
      <c r="J65" s="50" t="s">
        <v>12</v>
      </c>
      <c r="K65" s="30">
        <v>6</v>
      </c>
      <c r="L65" s="30" t="s">
        <v>60</v>
      </c>
      <c r="M65" s="5">
        <v>28.46</v>
      </c>
      <c r="N65" s="5">
        <v>2.8</v>
      </c>
      <c r="O65" s="5">
        <v>173.56</v>
      </c>
      <c r="P65" s="5">
        <v>39.92</v>
      </c>
      <c r="Q65" s="5">
        <v>213.48</v>
      </c>
    </row>
    <row r="66" spans="1:17" ht="15.6" x14ac:dyDescent="0.3">
      <c r="A66" s="8" t="s">
        <v>45</v>
      </c>
      <c r="B66" s="8">
        <v>7</v>
      </c>
      <c r="C66" s="5">
        <v>48.78</v>
      </c>
      <c r="D66" s="10">
        <v>341.46</v>
      </c>
      <c r="E66" s="10">
        <v>78.540000000000006</v>
      </c>
      <c r="F66" s="10">
        <v>420</v>
      </c>
      <c r="J66" s="50" t="s">
        <v>44</v>
      </c>
      <c r="K66" s="30">
        <v>6</v>
      </c>
      <c r="L66" s="30" t="s">
        <v>60</v>
      </c>
      <c r="M66" s="5">
        <v>47.15</v>
      </c>
      <c r="N66" s="5">
        <v>2.8</v>
      </c>
      <c r="O66" s="5">
        <v>285.7</v>
      </c>
      <c r="P66" s="5">
        <v>65.709999999999994</v>
      </c>
      <c r="Q66" s="5">
        <v>351.41</v>
      </c>
    </row>
    <row r="67" spans="1:17" ht="15.6" x14ac:dyDescent="0.3">
      <c r="A67" s="8" t="s">
        <v>31</v>
      </c>
      <c r="B67" s="8">
        <v>10</v>
      </c>
      <c r="C67" s="5">
        <v>45.53</v>
      </c>
      <c r="D67" s="10">
        <v>455.3</v>
      </c>
      <c r="E67" s="10">
        <v>104.72</v>
      </c>
      <c r="F67" s="10">
        <v>560.02</v>
      </c>
      <c r="J67" s="50" t="s">
        <v>36</v>
      </c>
      <c r="K67" s="30">
        <v>5</v>
      </c>
      <c r="L67" s="30" t="s">
        <v>60</v>
      </c>
      <c r="M67" s="5">
        <v>32.520000000000003</v>
      </c>
      <c r="N67" s="5">
        <v>2.8</v>
      </c>
      <c r="O67" s="5">
        <v>165.4</v>
      </c>
      <c r="P67" s="5">
        <v>38.04</v>
      </c>
      <c r="Q67" s="5">
        <v>203.44</v>
      </c>
    </row>
    <row r="68" spans="1:17" ht="15.6" x14ac:dyDescent="0.3">
      <c r="A68" s="8" t="s">
        <v>16</v>
      </c>
      <c r="B68" s="8">
        <v>7</v>
      </c>
      <c r="C68" s="10">
        <v>40.65</v>
      </c>
      <c r="D68" s="10">
        <v>284.55</v>
      </c>
      <c r="E68" s="10">
        <v>65.45</v>
      </c>
      <c r="F68" s="10">
        <v>350</v>
      </c>
      <c r="J68" s="50" t="s">
        <v>19</v>
      </c>
      <c r="K68" s="30">
        <v>6</v>
      </c>
      <c r="L68" s="30" t="s">
        <v>68</v>
      </c>
      <c r="M68" s="5">
        <v>12.2</v>
      </c>
      <c r="N68" s="5">
        <v>2.8</v>
      </c>
      <c r="O68" s="5">
        <v>76</v>
      </c>
      <c r="P68" s="5">
        <v>17.48</v>
      </c>
      <c r="Q68" s="5">
        <v>93.48</v>
      </c>
    </row>
    <row r="69" spans="1:17" ht="15.6" x14ac:dyDescent="0.3">
      <c r="A69" s="8" t="s">
        <v>17</v>
      </c>
      <c r="B69" s="8">
        <v>8</v>
      </c>
      <c r="C69" s="5">
        <v>28.46</v>
      </c>
      <c r="D69" s="10">
        <v>227.68</v>
      </c>
      <c r="E69" s="10">
        <v>52.37</v>
      </c>
      <c r="F69" s="10">
        <v>280.05</v>
      </c>
      <c r="J69" s="50" t="s">
        <v>24</v>
      </c>
      <c r="K69" s="30">
        <v>5</v>
      </c>
      <c r="L69" s="30" t="s">
        <v>61</v>
      </c>
      <c r="M69" s="5">
        <v>48.78</v>
      </c>
      <c r="N69" s="5">
        <v>2.4</v>
      </c>
      <c r="O69" s="5">
        <v>246.3</v>
      </c>
      <c r="P69" s="5">
        <v>56.65</v>
      </c>
      <c r="Q69" s="5">
        <v>302.95</v>
      </c>
    </row>
    <row r="70" spans="1:17" ht="15.6" x14ac:dyDescent="0.3">
      <c r="A70" s="12" t="s">
        <v>18</v>
      </c>
      <c r="B70" s="8">
        <v>10</v>
      </c>
      <c r="C70" s="10">
        <v>16.260000000000002</v>
      </c>
      <c r="D70" s="10">
        <v>162.6</v>
      </c>
      <c r="E70" s="10">
        <v>37.4</v>
      </c>
      <c r="F70" s="10">
        <v>200</v>
      </c>
      <c r="J70" s="50" t="s">
        <v>45</v>
      </c>
      <c r="K70" s="30">
        <v>5</v>
      </c>
      <c r="L70" s="30" t="s">
        <v>61</v>
      </c>
      <c r="M70" s="5">
        <v>48.78</v>
      </c>
      <c r="N70" s="5">
        <v>2.4</v>
      </c>
      <c r="O70" s="5">
        <v>246.3</v>
      </c>
      <c r="P70" s="5">
        <v>56.65</v>
      </c>
      <c r="Q70" s="5">
        <v>302.95</v>
      </c>
    </row>
    <row r="71" spans="1:17" ht="15.6" x14ac:dyDescent="0.3">
      <c r="A71" s="12" t="s">
        <v>19</v>
      </c>
      <c r="B71" s="12">
        <v>9</v>
      </c>
      <c r="C71" s="18">
        <v>12.2</v>
      </c>
      <c r="D71" s="18">
        <v>109.8</v>
      </c>
      <c r="E71" s="18">
        <v>25.25</v>
      </c>
      <c r="F71" s="18">
        <v>135.05000000000001</v>
      </c>
      <c r="J71" s="50" t="s">
        <v>74</v>
      </c>
      <c r="K71" s="30">
        <v>4</v>
      </c>
      <c r="L71" s="30" t="s">
        <v>61</v>
      </c>
      <c r="M71" s="5">
        <v>28.46</v>
      </c>
      <c r="N71" s="5">
        <v>2.4</v>
      </c>
      <c r="O71" s="5">
        <v>116.24</v>
      </c>
      <c r="P71" s="5">
        <v>26.74</v>
      </c>
      <c r="Q71" s="5">
        <v>142.97999999999999</v>
      </c>
    </row>
    <row r="72" spans="1:17" ht="15.6" x14ac:dyDescent="0.3">
      <c r="A72" s="12" t="s">
        <v>20</v>
      </c>
      <c r="B72" s="8">
        <v>4</v>
      </c>
      <c r="C72" s="18">
        <v>24.39</v>
      </c>
      <c r="D72" s="18">
        <v>97.56</v>
      </c>
      <c r="E72" s="18">
        <v>22.44</v>
      </c>
      <c r="F72" s="18">
        <v>120</v>
      </c>
      <c r="J72" s="50" t="s">
        <v>33</v>
      </c>
      <c r="K72" s="30">
        <v>10</v>
      </c>
      <c r="L72" s="30" t="s">
        <v>56</v>
      </c>
      <c r="M72" s="5">
        <v>13.82</v>
      </c>
      <c r="N72" s="5">
        <v>1.6</v>
      </c>
      <c r="O72" s="5">
        <v>139.80000000000001</v>
      </c>
      <c r="P72" s="5">
        <v>32.15</v>
      </c>
      <c r="Q72" s="5">
        <v>171.95</v>
      </c>
    </row>
    <row r="73" spans="1:17" x14ac:dyDescent="0.3">
      <c r="A73" s="20" t="s">
        <v>29</v>
      </c>
      <c r="B73" s="20">
        <v>133</v>
      </c>
      <c r="C73" s="22">
        <v>735.79</v>
      </c>
      <c r="D73" s="22">
        <v>4774.0600000000004</v>
      </c>
      <c r="E73" s="22">
        <v>1098.03</v>
      </c>
      <c r="F73" s="22">
        <v>5872.09</v>
      </c>
      <c r="J73" s="53" t="s">
        <v>66</v>
      </c>
      <c r="K73" s="53">
        <v>117</v>
      </c>
      <c r="L73" s="53"/>
      <c r="M73" s="53">
        <v>642.29999999999995</v>
      </c>
      <c r="N73" s="53">
        <v>59.9</v>
      </c>
      <c r="O73" s="53">
        <v>3505.56</v>
      </c>
      <c r="P73" s="53">
        <v>806.28</v>
      </c>
      <c r="Q73" s="54">
        <v>4311.84</v>
      </c>
    </row>
  </sheetData>
  <mergeCells count="7">
    <mergeCell ref="A1:F1"/>
    <mergeCell ref="A2:F2"/>
    <mergeCell ref="A51:F51"/>
    <mergeCell ref="J1:Q1"/>
    <mergeCell ref="J2:Q2"/>
    <mergeCell ref="J26:Q26"/>
    <mergeCell ref="J50:Q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Finita Benjamim</dc:creator>
  <cp:lastModifiedBy>Finita Benjamim</cp:lastModifiedBy>
  <dcterms:created xsi:type="dcterms:W3CDTF">2026-09-28T10:28:34Z</dcterms:created>
  <dcterms:modified xsi:type="dcterms:W3CDTF">2026-09-28T10:35:30Z</dcterms:modified>
</cp:coreProperties>
</file>