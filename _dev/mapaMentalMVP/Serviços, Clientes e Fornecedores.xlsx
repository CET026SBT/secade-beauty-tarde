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8" documentId="11_9248381DC2F30A436F107A39913E8C1851038385" xr6:coauthVersionLast="47" xr6:coauthVersionMax="47" xr10:uidLastSave="{29210A56-D64E-481C-9F26-F8EEE4B80CA3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8" i="1" l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I31" i="1"/>
  <c r="I39" i="1" s="1"/>
  <c r="D31" i="1"/>
  <c r="E31" i="1" s="1"/>
  <c r="D30" i="1"/>
  <c r="E30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I19" i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<sst xmlns="http://schemas.openxmlformats.org/spreadsheetml/2006/main" count="225" uniqueCount="167">
  <si>
    <t>Serviços</t>
  </si>
  <si>
    <t>Preço ao cliente com IVA</t>
  </si>
  <si>
    <t>Valor Base</t>
  </si>
  <si>
    <t>Valor IVA</t>
  </si>
  <si>
    <t>Número</t>
  </si>
  <si>
    <t>Lista de Fornecedores</t>
  </si>
  <si>
    <t>Contribuinte</t>
  </si>
  <si>
    <t>Lista de Clientes</t>
  </si>
  <si>
    <t>Localidade</t>
  </si>
  <si>
    <t>Tranças</t>
  </si>
  <si>
    <t>Box braids</t>
  </si>
  <si>
    <t>Stand Virtual</t>
  </si>
  <si>
    <t>Leonor Santos</t>
  </si>
  <si>
    <t>Évora</t>
  </si>
  <si>
    <t>Cordolete</t>
  </si>
  <si>
    <t>Worten</t>
  </si>
  <si>
    <t>Catarina Pixoto</t>
  </si>
  <si>
    <t>Demão</t>
  </si>
  <si>
    <t>Leroy-Merlin</t>
  </si>
  <si>
    <t>Elvisson Daniel</t>
  </si>
  <si>
    <t>Tranças nagô</t>
  </si>
  <si>
    <t>AOSOM</t>
  </si>
  <si>
    <t>Leandro Silva</t>
  </si>
  <si>
    <t>Retrobraids</t>
  </si>
  <si>
    <t>Staples</t>
  </si>
  <si>
    <t>Tomásia Contreiras</t>
  </si>
  <si>
    <t>Dreads look</t>
  </si>
  <si>
    <t>Beleza 37</t>
  </si>
  <si>
    <t>Joaquina Matos</t>
  </si>
  <si>
    <t>Trança twist</t>
  </si>
  <si>
    <t>Extintores online</t>
  </si>
  <si>
    <t>Lídia Correia</t>
  </si>
  <si>
    <t>Box braid crochet hair</t>
  </si>
  <si>
    <t>Continente</t>
  </si>
  <si>
    <t>Emanuela Vigílio</t>
  </si>
  <si>
    <t>Trança boxeadora</t>
  </si>
  <si>
    <t>Logo seguros</t>
  </si>
  <si>
    <t>Augusta Contente</t>
  </si>
  <si>
    <t>Trança butterfly</t>
  </si>
  <si>
    <t>Generali</t>
  </si>
  <si>
    <t>Laura Vanuza</t>
  </si>
  <si>
    <t>Trança fulani</t>
  </si>
  <si>
    <t>OK! Seguros</t>
  </si>
  <si>
    <t>Florentino Rosa</t>
  </si>
  <si>
    <t>French curl</t>
  </si>
  <si>
    <t>Fidelidade</t>
  </si>
  <si>
    <t>Beatriz Baessa</t>
  </si>
  <si>
    <t>Faux locs</t>
  </si>
  <si>
    <t>Liberty</t>
  </si>
  <si>
    <t>Tiago Fortunato</t>
  </si>
  <si>
    <t>Gypsy braids</t>
  </si>
  <si>
    <t>SK pro Med Beauty Solutions</t>
  </si>
  <si>
    <t>Elias Patente</t>
  </si>
  <si>
    <t>Bohemian braids</t>
  </si>
  <si>
    <t>Primor</t>
  </si>
  <si>
    <t>Partrícia Gomes</t>
  </si>
  <si>
    <t>Tranças pipocas</t>
  </si>
  <si>
    <t>Pluri cosmética</t>
  </si>
  <si>
    <t>Alexanda Pinto</t>
  </si>
  <si>
    <t>Penteados</t>
  </si>
  <si>
    <t>Rabo de cavalo (Ponytail)</t>
  </si>
  <si>
    <t>AfroQueen</t>
  </si>
  <si>
    <t>Maria Luana</t>
  </si>
  <si>
    <t>Coque (Bun)</t>
  </si>
  <si>
    <t>Temu</t>
  </si>
  <si>
    <t>Rena Nunes</t>
  </si>
  <si>
    <t>Trança Francesa</t>
  </si>
  <si>
    <t>IKEA</t>
  </si>
  <si>
    <t>Vanessa Cardoso</t>
  </si>
  <si>
    <t>Half bun (meio coque)</t>
  </si>
  <si>
    <t>Lusini</t>
  </si>
  <si>
    <t>Tiago Alves</t>
  </si>
  <si>
    <t>Beach waves</t>
  </si>
  <si>
    <t>DRUNI</t>
  </si>
  <si>
    <t>Maria Pedro</t>
  </si>
  <si>
    <t>Cabelo liso com franja</t>
  </si>
  <si>
    <t>Wells</t>
  </si>
  <si>
    <t>Luísa Evidência</t>
  </si>
  <si>
    <t>Coque Messy</t>
  </si>
  <si>
    <t>Baber tools profissional</t>
  </si>
  <si>
    <t>Bianca Brico</t>
  </si>
  <si>
    <t>Trança espinha de peixe</t>
  </si>
  <si>
    <t>Ideal Cosméticos</t>
  </si>
  <si>
    <t>Amanda Alves</t>
  </si>
  <si>
    <t>Cabelo preso lateral</t>
  </si>
  <si>
    <t>Barberalia</t>
  </si>
  <si>
    <t>Patrícia Freitas</t>
  </si>
  <si>
    <t>Cabelo solto com ondas</t>
  </si>
  <si>
    <t>Bandido Portugal.pt</t>
  </si>
  <si>
    <t>NIF indisponível nas plataformas digitais</t>
  </si>
  <si>
    <t>Beatriz Oliveira</t>
  </si>
  <si>
    <t>Coque baixo elegante</t>
  </si>
  <si>
    <t>ViceDeal.com</t>
  </si>
  <si>
    <t>NP (não possui) NIF</t>
  </si>
  <si>
    <t>Lúcia Camarada</t>
  </si>
  <si>
    <t>Casa do Barbeiro</t>
  </si>
  <si>
    <t>Vivalda Libolo</t>
  </si>
  <si>
    <t>Barbearia</t>
  </si>
  <si>
    <t>Corte de cabelo</t>
  </si>
  <si>
    <t>Espaço barbeiro</t>
  </si>
  <si>
    <t>Ricardo Sebastião</t>
  </si>
  <si>
    <t>Barba</t>
  </si>
  <si>
    <t>Aliexpress</t>
  </si>
  <si>
    <t>Beatriz Gonçalves</t>
  </si>
  <si>
    <t>Arraiaolos</t>
  </si>
  <si>
    <t>Município de Évora</t>
  </si>
  <si>
    <t>Sónia Silva</t>
  </si>
  <si>
    <t>Estética</t>
  </si>
  <si>
    <t>Maquilhagem para noivas</t>
  </si>
  <si>
    <t>Endesa</t>
  </si>
  <si>
    <t>Marta Gonçalves</t>
  </si>
  <si>
    <t>Montemor-O-Novo</t>
  </si>
  <si>
    <t>Maquilhagem para festa</t>
  </si>
  <si>
    <t>MEO</t>
  </si>
  <si>
    <t>Joana Silva</t>
  </si>
  <si>
    <t>Maquilhagem simples</t>
  </si>
  <si>
    <t>Galp</t>
  </si>
  <si>
    <t>Sílvia Almeida</t>
  </si>
  <si>
    <t>Viana Do Alentejo</t>
  </si>
  <si>
    <t>Manicure</t>
  </si>
  <si>
    <t>Repsol</t>
  </si>
  <si>
    <t>Rita Costa</t>
  </si>
  <si>
    <t>Limpeza facial</t>
  </si>
  <si>
    <t>Manuel jacinto (renda)</t>
  </si>
  <si>
    <t>Teresa Correia</t>
  </si>
  <si>
    <t>Reguengos de Monsaraz</t>
  </si>
  <si>
    <t>Design de sobrancelha com linha</t>
  </si>
  <si>
    <t>Banco CTT</t>
  </si>
  <si>
    <t>Teresa Cardoso</t>
  </si>
  <si>
    <t>Consumíveis</t>
  </si>
  <si>
    <t>Claúdia Marques</t>
  </si>
  <si>
    <t>Redondo</t>
  </si>
  <si>
    <t>Norauto</t>
  </si>
  <si>
    <t>Sílvia Gonçalves</t>
  </si>
  <si>
    <t>Gestévora</t>
  </si>
  <si>
    <t>Carla Morauto</t>
  </si>
  <si>
    <t>Vendas Novas</t>
  </si>
  <si>
    <t>Patrícia Costa</t>
  </si>
  <si>
    <t>Stela Cristina</t>
  </si>
  <si>
    <t>Joana Pereira</t>
  </si>
  <si>
    <t xml:space="preserve">Estremoz </t>
  </si>
  <si>
    <t>Moloni</t>
  </si>
  <si>
    <t>Filipa Costa</t>
  </si>
  <si>
    <t>Joana Pinto</t>
  </si>
  <si>
    <t>Vila Viçosa</t>
  </si>
  <si>
    <t>Daniela Cardoso</t>
  </si>
  <si>
    <t>Catarina Correia</t>
  </si>
  <si>
    <t>Catarina Lopes</t>
  </si>
  <si>
    <t>Mourão</t>
  </si>
  <si>
    <t>Sónia Fenandes</t>
  </si>
  <si>
    <t>Margarida Santos</t>
  </si>
  <si>
    <t>Rita Pereira</t>
  </si>
  <si>
    <t>Inês Mendes</t>
  </si>
  <si>
    <t>Vera Costa</t>
  </si>
  <si>
    <t>Filipa Santos</t>
  </si>
  <si>
    <t>Marta Rodrigues</t>
  </si>
  <si>
    <t>Marta Almeida</t>
  </si>
  <si>
    <t>Sílvia Ferreira</t>
  </si>
  <si>
    <t>Rita Jesus</t>
  </si>
  <si>
    <t>Maria Ferreira</t>
  </si>
  <si>
    <t>Margarida Gonçalves</t>
  </si>
  <si>
    <t>Daniela Ribeiro</t>
  </si>
  <si>
    <t>Daniela Oliveira</t>
  </si>
  <si>
    <t>Ana Lopes</t>
  </si>
  <si>
    <t>Teresa Lopes</t>
  </si>
  <si>
    <t>Inês Lopes</t>
  </si>
  <si>
    <t>Daniela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</si>
</sst>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3" borderId="0" xfId="0" applyFont="1" applyFill="1"/>
    <xf numFmtId="0" fontId="2" fillId="4" borderId="3" xfId="0" applyFont="1" applyFill="1" applyBorder="1"/>
    <xf numFmtId="0" fontId="2" fillId="5" borderId="0" xfId="0" applyFont="1" applyFill="1"/>
    <xf numFmtId="0" fontId="2" fillId="6" borderId="3" xfId="0" applyFont="1" applyFill="1" applyBorder="1"/>
    <xf numFmtId="0" fontId="2" fillId="6" borderId="4" xfId="0" applyFont="1" applyFill="1" applyBorder="1"/>
    <xf numFmtId="0" fontId="2" fillId="7" borderId="4" xfId="0" applyFont="1" applyFill="1" applyBorder="1"/>
    <xf numFmtId="0" fontId="0" fillId="0" borderId="1" xfId="0" applyBorder="1"/>
    <xf numFmtId="44" fontId="0" fillId="0" borderId="1" xfId="1" applyFont="1" applyBorder="1"/>
    <xf numFmtId="44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6" xfId="0" applyBorder="1"/>
    <xf numFmtId="0" fontId="0" fillId="0" borderId="4" xfId="0" applyBorder="1"/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44" fontId="0" fillId="0" borderId="1" xfId="1" applyFont="1" applyBorder="1" applyAlignment="1">
      <alignment wrapText="1"/>
    </xf>
    <xf numFmtId="44" fontId="0" fillId="9" borderId="3" xfId="0" applyNumberFormat="1" applyFill="1" applyBorder="1"/>
    <xf numFmtId="0" fontId="0" fillId="0" borderId="3" xfId="0" applyBorder="1" applyAlignment="1">
      <alignment horizontal="left"/>
    </xf>
    <xf numFmtId="44" fontId="0" fillId="0" borderId="1" xfId="1" applyFont="1" applyFill="1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right"/>
    </xf>
    <xf numFmtId="0" fontId="0" fillId="8" borderId="5" xfId="0" applyFill="1" applyBorder="1" applyAlignment="1">
      <alignment horizontal="center" vertical="center" textRotation="90" wrapText="1"/>
    </xf>
    <xf numFmtId="0" fontId="0" fillId="8" borderId="7" xfId="0" applyFill="1" applyBorder="1" applyAlignment="1">
      <alignment horizontal="center" vertical="center" textRotation="90" wrapText="1"/>
    </xf>
    <xf numFmtId="0" fontId="0" fillId="8" borderId="8" xfId="0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textRotation="90"/>
    </xf>
    <xf numFmtId="0" fontId="0" fillId="8" borderId="7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 vertical="center" textRotation="90"/>
    </xf>
    <xf numFmtId="0" fontId="0" fillId="9" borderId="1" xfId="0" applyFill="1" applyBorder="1" applyAlignment="1">
      <alignment horizontal="center" vertical="center" textRotation="90" wrapText="1"/>
    </xf>
    <xf numFmtId="0" fontId="0" fillId="9" borderId="2" xfId="0" applyFill="1" applyBorder="1" applyAlignment="1">
      <alignment horizontal="center" vertical="center" textRotation="90" wrapText="1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acius.com/druni-perfumarias-portugal-unipessoal-lda/" TargetMode="External"/><Relationship Id="rId1" Type="http://schemas.openxmlformats.org/officeDocument/2006/relationships/hyperlink" Target="https://www.racius.com/worten-equipamentos-para-o-lar-s-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topLeftCell="B1" workbookViewId="0">
      <selection activeCell="Q5" sqref="Q5"/>
    </sheetView>
  </sheetViews>
  <sheetFormatPr defaultRowHeight="15"/>
  <cols>
    <col min="2" max="2" width="21.140625" customWidth="1"/>
    <col min="8" max="8" width="26.85546875" bestFit="1" customWidth="1"/>
    <col min="9" max="9" width="36.85546875" bestFit="1" customWidth="1"/>
    <col min="12" max="12" width="19.7109375" bestFit="1" customWidth="1"/>
    <col min="13" max="13" width="12.42578125" bestFit="1" customWidth="1"/>
    <col min="14" max="14" width="22.85546875" bestFit="1" customWidth="1"/>
  </cols>
  <sheetData>
    <row r="1" spans="1:17">
      <c r="A1" s="31" t="s">
        <v>0</v>
      </c>
      <c r="B1" s="32"/>
      <c r="C1" s="1" t="s">
        <v>1</v>
      </c>
      <c r="D1" s="2" t="s">
        <v>2</v>
      </c>
      <c r="E1" s="3" t="s">
        <v>3</v>
      </c>
      <c r="G1" s="4" t="s">
        <v>4</v>
      </c>
      <c r="H1" s="5" t="s">
        <v>5</v>
      </c>
      <c r="I1" s="5" t="s">
        <v>6</v>
      </c>
      <c r="K1" s="6" t="s">
        <v>4</v>
      </c>
      <c r="L1" s="7" t="s">
        <v>7</v>
      </c>
      <c r="M1" s="8" t="s">
        <v>6</v>
      </c>
      <c r="N1" s="9" t="s">
        <v>8</v>
      </c>
    </row>
    <row r="2" spans="1:17">
      <c r="A2" s="33" t="s">
        <v>9</v>
      </c>
      <c r="B2" s="10" t="s">
        <v>10</v>
      </c>
      <c r="C2" s="11">
        <v>40</v>
      </c>
      <c r="D2" s="12">
        <f>C2/1.23</f>
        <v>32.520325203252035</v>
      </c>
      <c r="E2" s="12">
        <f>C2-D2</f>
        <v>7.4796747967479646</v>
      </c>
      <c r="G2" s="13">
        <v>1</v>
      </c>
      <c r="H2" s="14" t="s">
        <v>11</v>
      </c>
      <c r="I2" s="15">
        <v>508069491</v>
      </c>
      <c r="K2" s="13">
        <v>1</v>
      </c>
      <c r="L2" s="16" t="s">
        <v>12</v>
      </c>
      <c r="M2" s="17">
        <v>251989518</v>
      </c>
      <c r="N2" s="17" t="s">
        <v>13</v>
      </c>
    </row>
    <row r="3" spans="1:17">
      <c r="A3" s="34"/>
      <c r="B3" s="10" t="s">
        <v>14</v>
      </c>
      <c r="C3" s="11">
        <v>60</v>
      </c>
      <c r="D3" s="12">
        <f t="shared" ref="D3:D38" si="0">C3/1.23</f>
        <v>48.780487804878049</v>
      </c>
      <c r="E3" s="12">
        <f t="shared" ref="E3:E38" si="1">C3-D3</f>
        <v>11.219512195121951</v>
      </c>
      <c r="G3" s="13">
        <v>2</v>
      </c>
      <c r="H3" s="14" t="s">
        <v>15</v>
      </c>
      <c r="I3" s="15">
        <v>503630330</v>
      </c>
      <c r="K3" s="13">
        <v>2</v>
      </c>
      <c r="L3" s="16" t="s">
        <v>16</v>
      </c>
      <c r="M3" s="17">
        <v>298784076</v>
      </c>
      <c r="N3" s="17" t="s">
        <v>13</v>
      </c>
    </row>
    <row r="4" spans="1:17">
      <c r="A4" s="34"/>
      <c r="B4" s="10" t="s">
        <v>17</v>
      </c>
      <c r="C4" s="11">
        <v>45</v>
      </c>
      <c r="D4" s="12">
        <f>C4/1.23</f>
        <v>36.585365853658537</v>
      </c>
      <c r="E4" s="12">
        <f t="shared" si="1"/>
        <v>8.4146341463414629</v>
      </c>
      <c r="G4" s="13">
        <v>3</v>
      </c>
      <c r="H4" s="14" t="s">
        <v>18</v>
      </c>
      <c r="I4" s="18">
        <v>506848558</v>
      </c>
      <c r="K4" s="13">
        <v>3</v>
      </c>
      <c r="L4" s="16" t="s">
        <v>19</v>
      </c>
      <c r="M4" s="17">
        <v>278561519</v>
      </c>
      <c r="N4" s="17" t="s">
        <v>13</v>
      </c>
    </row>
    <row r="5" spans="1:17">
      <c r="A5" s="34"/>
      <c r="B5" s="10" t="s">
        <v>20</v>
      </c>
      <c r="C5" s="11">
        <v>35</v>
      </c>
      <c r="D5" s="12">
        <f t="shared" si="0"/>
        <v>28.45528455284553</v>
      </c>
      <c r="E5" s="12">
        <f t="shared" si="1"/>
        <v>6.54471544715447</v>
      </c>
      <c r="G5" s="13">
        <v>4</v>
      </c>
      <c r="H5" s="14" t="s">
        <v>21</v>
      </c>
      <c r="I5" s="18">
        <v>980683386</v>
      </c>
      <c r="K5" s="13">
        <v>4</v>
      </c>
      <c r="L5" s="16" t="s">
        <v>22</v>
      </c>
      <c r="M5" s="17">
        <v>214056686</v>
      </c>
      <c r="N5" s="17" t="s">
        <v>13</v>
      </c>
      <c r="Q5">
        <v>9300</v>
      </c>
    </row>
    <row r="6" spans="1:17">
      <c r="A6" s="34"/>
      <c r="B6" s="10" t="s">
        <v>23</v>
      </c>
      <c r="C6" s="11">
        <v>60</v>
      </c>
      <c r="D6" s="12">
        <f t="shared" si="0"/>
        <v>48.780487804878049</v>
      </c>
      <c r="E6" s="12">
        <f t="shared" si="1"/>
        <v>11.219512195121951</v>
      </c>
      <c r="F6" s="19"/>
      <c r="G6" s="13">
        <v>5</v>
      </c>
      <c r="H6" s="14" t="s">
        <v>24</v>
      </c>
      <c r="I6" s="15">
        <v>503789372</v>
      </c>
      <c r="K6" s="13">
        <v>5</v>
      </c>
      <c r="L6" s="16" t="s">
        <v>25</v>
      </c>
      <c r="M6" s="17">
        <v>227748204</v>
      </c>
      <c r="N6" s="17" t="s">
        <v>13</v>
      </c>
    </row>
    <row r="7" spans="1:17">
      <c r="A7" s="34"/>
      <c r="B7" s="10" t="s">
        <v>26</v>
      </c>
      <c r="C7" s="11">
        <v>55</v>
      </c>
      <c r="D7" s="12">
        <f t="shared" si="0"/>
        <v>44.715447154471548</v>
      </c>
      <c r="E7" s="12">
        <f t="shared" si="1"/>
        <v>10.284552845528452</v>
      </c>
      <c r="G7" s="13">
        <v>6</v>
      </c>
      <c r="H7" s="14" t="s">
        <v>27</v>
      </c>
      <c r="I7" s="18">
        <v>514749636</v>
      </c>
      <c r="K7" s="13">
        <v>6</v>
      </c>
      <c r="L7" s="16" t="s">
        <v>28</v>
      </c>
      <c r="M7" s="17">
        <v>235820776</v>
      </c>
      <c r="N7" s="17" t="s">
        <v>13</v>
      </c>
    </row>
    <row r="8" spans="1:17">
      <c r="A8" s="34"/>
      <c r="B8" s="10" t="s">
        <v>29</v>
      </c>
      <c r="C8" s="11">
        <v>50</v>
      </c>
      <c r="D8" s="12">
        <f t="shared" si="0"/>
        <v>40.650406504065039</v>
      </c>
      <c r="E8" s="12">
        <f t="shared" si="1"/>
        <v>9.3495934959349611</v>
      </c>
      <c r="G8" s="13">
        <v>7</v>
      </c>
      <c r="H8" s="14" t="s">
        <v>30</v>
      </c>
      <c r="I8" s="15">
        <v>518352080</v>
      </c>
      <c r="K8" s="13">
        <v>7</v>
      </c>
      <c r="L8" s="16" t="s">
        <v>31</v>
      </c>
      <c r="M8" s="17">
        <v>201303140</v>
      </c>
      <c r="N8" s="17" t="s">
        <v>13</v>
      </c>
    </row>
    <row r="9" spans="1:17">
      <c r="A9" s="34"/>
      <c r="B9" s="10" t="s">
        <v>32</v>
      </c>
      <c r="C9" s="11">
        <v>45</v>
      </c>
      <c r="D9" s="12">
        <f t="shared" si="0"/>
        <v>36.585365853658537</v>
      </c>
      <c r="E9" s="12">
        <f t="shared" si="1"/>
        <v>8.4146341463414629</v>
      </c>
      <c r="G9" s="13">
        <v>8</v>
      </c>
      <c r="H9" s="14" t="s">
        <v>33</v>
      </c>
      <c r="I9" s="15">
        <v>502011475</v>
      </c>
      <c r="K9" s="13">
        <v>8</v>
      </c>
      <c r="L9" s="16" t="s">
        <v>34</v>
      </c>
      <c r="M9" s="17">
        <v>213916819</v>
      </c>
      <c r="N9" s="17" t="s">
        <v>13</v>
      </c>
    </row>
    <row r="10" spans="1:17">
      <c r="A10" s="34"/>
      <c r="B10" s="10" t="s">
        <v>35</v>
      </c>
      <c r="C10" s="11">
        <v>30</v>
      </c>
      <c r="D10" s="12">
        <f t="shared" si="0"/>
        <v>24.390243902439025</v>
      </c>
      <c r="E10" s="12">
        <f t="shared" si="1"/>
        <v>5.6097560975609753</v>
      </c>
      <c r="G10" s="13">
        <v>9</v>
      </c>
      <c r="H10" s="14" t="s">
        <v>36</v>
      </c>
      <c r="I10" s="18">
        <v>508278600</v>
      </c>
      <c r="K10" s="13">
        <v>9</v>
      </c>
      <c r="L10" s="16" t="s">
        <v>37</v>
      </c>
      <c r="M10" s="17">
        <v>240660501</v>
      </c>
      <c r="N10" s="17" t="s">
        <v>13</v>
      </c>
    </row>
    <row r="11" spans="1:17">
      <c r="A11" s="34"/>
      <c r="B11" s="10" t="s">
        <v>38</v>
      </c>
      <c r="C11" s="11">
        <v>55.99</v>
      </c>
      <c r="D11" s="12">
        <f t="shared" si="0"/>
        <v>45.520325203252035</v>
      </c>
      <c r="E11" s="12">
        <f t="shared" si="1"/>
        <v>10.469674796747967</v>
      </c>
      <c r="G11" s="13">
        <v>10</v>
      </c>
      <c r="H11" s="14" t="s">
        <v>39</v>
      </c>
      <c r="I11" s="18">
        <v>500940231</v>
      </c>
      <c r="K11" s="13">
        <v>10</v>
      </c>
      <c r="L11" s="16" t="s">
        <v>40</v>
      </c>
      <c r="M11" s="17">
        <v>235159026</v>
      </c>
      <c r="N11" s="17" t="s">
        <v>13</v>
      </c>
    </row>
    <row r="12" spans="1:17">
      <c r="A12" s="34"/>
      <c r="B12" s="10" t="s">
        <v>41</v>
      </c>
      <c r="C12" s="11">
        <v>45</v>
      </c>
      <c r="D12" s="12">
        <f t="shared" si="0"/>
        <v>36.585365853658537</v>
      </c>
      <c r="E12" s="12">
        <f t="shared" si="1"/>
        <v>8.4146341463414629</v>
      </c>
      <c r="G12" s="13">
        <v>11</v>
      </c>
      <c r="H12" s="14" t="s">
        <v>42</v>
      </c>
      <c r="I12" s="18">
        <v>504011944</v>
      </c>
      <c r="K12" s="13">
        <v>11</v>
      </c>
      <c r="L12" s="16" t="s">
        <v>43</v>
      </c>
      <c r="M12" s="17">
        <v>278084737</v>
      </c>
      <c r="N12" s="17" t="s">
        <v>13</v>
      </c>
    </row>
    <row r="13" spans="1:17">
      <c r="A13" s="34"/>
      <c r="B13" s="10" t="s">
        <v>44</v>
      </c>
      <c r="C13" s="11">
        <v>60</v>
      </c>
      <c r="D13" s="12">
        <f t="shared" si="0"/>
        <v>48.780487804878049</v>
      </c>
      <c r="E13" s="12">
        <f t="shared" si="1"/>
        <v>11.219512195121951</v>
      </c>
      <c r="G13" s="13">
        <v>12</v>
      </c>
      <c r="H13" s="14" t="s">
        <v>45</v>
      </c>
      <c r="I13" s="18">
        <v>500918880</v>
      </c>
      <c r="K13" s="13">
        <v>12</v>
      </c>
      <c r="L13" s="16" t="s">
        <v>46</v>
      </c>
      <c r="M13" s="17">
        <v>232443777</v>
      </c>
      <c r="N13" s="17" t="s">
        <v>13</v>
      </c>
    </row>
    <row r="14" spans="1:17">
      <c r="A14" s="34"/>
      <c r="B14" s="10" t="s">
        <v>47</v>
      </c>
      <c r="C14" s="11">
        <v>58</v>
      </c>
      <c r="D14" s="12">
        <f t="shared" si="0"/>
        <v>47.154471544715449</v>
      </c>
      <c r="E14" s="12">
        <f t="shared" si="1"/>
        <v>10.845528455284551</v>
      </c>
      <c r="G14" s="13">
        <v>13</v>
      </c>
      <c r="H14" s="14" t="s">
        <v>48</v>
      </c>
      <c r="I14" s="18">
        <v>500068658</v>
      </c>
      <c r="K14" s="13">
        <v>13</v>
      </c>
      <c r="L14" s="16" t="s">
        <v>49</v>
      </c>
      <c r="M14" s="17">
        <v>214803155</v>
      </c>
      <c r="N14" s="17" t="s">
        <v>13</v>
      </c>
    </row>
    <row r="15" spans="1:17">
      <c r="A15" s="34"/>
      <c r="B15" s="10" t="s">
        <v>50</v>
      </c>
      <c r="C15" s="11">
        <v>60</v>
      </c>
      <c r="D15" s="12">
        <f t="shared" si="0"/>
        <v>48.780487804878049</v>
      </c>
      <c r="E15" s="12">
        <f t="shared" si="1"/>
        <v>11.219512195121951</v>
      </c>
      <c r="G15" s="13">
        <v>14</v>
      </c>
      <c r="H15" s="14" t="s">
        <v>51</v>
      </c>
      <c r="I15" s="18">
        <v>508161320</v>
      </c>
      <c r="K15" s="13">
        <v>14</v>
      </c>
      <c r="L15" s="16" t="s">
        <v>52</v>
      </c>
      <c r="M15" s="17">
        <v>243363010</v>
      </c>
      <c r="N15" s="17" t="s">
        <v>13</v>
      </c>
    </row>
    <row r="16" spans="1:17">
      <c r="A16" s="34"/>
      <c r="B16" s="10" t="s">
        <v>53</v>
      </c>
      <c r="C16" s="11">
        <v>56</v>
      </c>
      <c r="D16" s="12">
        <f t="shared" si="0"/>
        <v>45.528455284552848</v>
      </c>
      <c r="E16" s="12">
        <f t="shared" si="1"/>
        <v>10.471544715447152</v>
      </c>
      <c r="G16" s="13">
        <v>15</v>
      </c>
      <c r="H16" s="14" t="s">
        <v>54</v>
      </c>
      <c r="I16" s="15">
        <v>980663695</v>
      </c>
      <c r="K16" s="13">
        <v>15</v>
      </c>
      <c r="L16" s="16" t="s">
        <v>55</v>
      </c>
      <c r="M16" s="17">
        <v>274907810</v>
      </c>
      <c r="N16" s="17" t="s">
        <v>13</v>
      </c>
    </row>
    <row r="17" spans="1:14" ht="30.75">
      <c r="A17" s="35"/>
      <c r="B17" s="20" t="s">
        <v>56</v>
      </c>
      <c r="C17" s="21">
        <v>50</v>
      </c>
      <c r="D17" s="12">
        <f t="shared" si="0"/>
        <v>40.650406504065039</v>
      </c>
      <c r="E17" s="12">
        <f t="shared" si="1"/>
        <v>9.3495934959349611</v>
      </c>
      <c r="G17" s="13">
        <v>16</v>
      </c>
      <c r="H17" s="14" t="s">
        <v>57</v>
      </c>
      <c r="I17" s="18">
        <v>503890278</v>
      </c>
      <c r="K17" s="13">
        <v>16</v>
      </c>
      <c r="L17" s="16" t="s">
        <v>58</v>
      </c>
      <c r="M17" s="17">
        <v>261788396</v>
      </c>
      <c r="N17" s="17" t="s">
        <v>13</v>
      </c>
    </row>
    <row r="18" spans="1:14" ht="45.75">
      <c r="A18" s="28" t="s">
        <v>59</v>
      </c>
      <c r="B18" s="20" t="s">
        <v>60</v>
      </c>
      <c r="C18" s="11">
        <v>25</v>
      </c>
      <c r="D18" s="12">
        <f t="shared" si="0"/>
        <v>20.325203252032519</v>
      </c>
      <c r="E18" s="12">
        <f t="shared" si="1"/>
        <v>4.6747967479674806</v>
      </c>
      <c r="G18" s="13">
        <v>17</v>
      </c>
      <c r="H18" s="14" t="s">
        <v>61</v>
      </c>
      <c r="I18" s="15">
        <v>516416081</v>
      </c>
      <c r="K18" s="13">
        <v>17</v>
      </c>
      <c r="L18" s="16" t="s">
        <v>62</v>
      </c>
      <c r="M18" s="17">
        <v>270325492</v>
      </c>
      <c r="N18" s="17" t="s">
        <v>13</v>
      </c>
    </row>
    <row r="19" spans="1:14">
      <c r="A19" s="29"/>
      <c r="B19" s="10" t="s">
        <v>63</v>
      </c>
      <c r="C19" s="11">
        <v>30</v>
      </c>
      <c r="D19" s="12">
        <f t="shared" si="0"/>
        <v>24.390243902439025</v>
      </c>
      <c r="E19" s="12">
        <f t="shared" si="1"/>
        <v>5.6097560975609753</v>
      </c>
      <c r="G19" s="13">
        <v>18</v>
      </c>
      <c r="H19" s="14" t="s">
        <v>64</v>
      </c>
      <c r="I19" s="15" t="str">
        <f>+I31</f>
        <v>NP (não possui) NIF</v>
      </c>
      <c r="K19" s="13">
        <v>18</v>
      </c>
      <c r="L19" s="16" t="s">
        <v>65</v>
      </c>
      <c r="M19" s="17">
        <v>259969931</v>
      </c>
      <c r="N19" s="17" t="s">
        <v>13</v>
      </c>
    </row>
    <row r="20" spans="1:14">
      <c r="A20" s="29"/>
      <c r="B20" s="10" t="s">
        <v>66</v>
      </c>
      <c r="C20" s="11">
        <v>17</v>
      </c>
      <c r="D20" s="12">
        <f t="shared" si="0"/>
        <v>13.821138211382115</v>
      </c>
      <c r="E20" s="12">
        <f t="shared" si="1"/>
        <v>3.1788617886178852</v>
      </c>
      <c r="G20" s="13">
        <v>19</v>
      </c>
      <c r="H20" s="14" t="s">
        <v>67</v>
      </c>
      <c r="I20" s="15">
        <v>505416654</v>
      </c>
      <c r="K20" s="13">
        <v>19</v>
      </c>
      <c r="L20" s="16" t="s">
        <v>68</v>
      </c>
      <c r="M20" s="17">
        <v>204914663</v>
      </c>
      <c r="N20" s="17" t="s">
        <v>13</v>
      </c>
    </row>
    <row r="21" spans="1:14">
      <c r="A21" s="29"/>
      <c r="B21" s="10" t="s">
        <v>69</v>
      </c>
      <c r="C21" s="11">
        <v>45</v>
      </c>
      <c r="D21" s="12">
        <f t="shared" si="0"/>
        <v>36.585365853658537</v>
      </c>
      <c r="E21" s="12">
        <f t="shared" si="1"/>
        <v>8.4146341463414629</v>
      </c>
      <c r="G21" s="13">
        <v>20</v>
      </c>
      <c r="H21" s="14" t="s">
        <v>70</v>
      </c>
      <c r="I21" s="15">
        <v>517386402</v>
      </c>
      <c r="K21" s="13">
        <v>20</v>
      </c>
      <c r="L21" s="16" t="s">
        <v>71</v>
      </c>
      <c r="M21" s="17">
        <v>272698679</v>
      </c>
      <c r="N21" s="17" t="s">
        <v>13</v>
      </c>
    </row>
    <row r="22" spans="1:14">
      <c r="A22" s="29"/>
      <c r="B22" s="10" t="s">
        <v>72</v>
      </c>
      <c r="C22" s="11">
        <v>20</v>
      </c>
      <c r="D22" s="12">
        <f t="shared" si="0"/>
        <v>16.260162601626018</v>
      </c>
      <c r="E22" s="12">
        <f t="shared" si="1"/>
        <v>3.7398373983739823</v>
      </c>
      <c r="G22" s="13">
        <v>21</v>
      </c>
      <c r="H22" s="14" t="s">
        <v>73</v>
      </c>
      <c r="I22" s="15">
        <v>518530752</v>
      </c>
      <c r="K22" s="13">
        <v>21</v>
      </c>
      <c r="L22" s="16" t="s">
        <v>74</v>
      </c>
      <c r="M22" s="17">
        <v>229658660</v>
      </c>
      <c r="N22" s="17" t="s">
        <v>13</v>
      </c>
    </row>
    <row r="23" spans="1:14">
      <c r="A23" s="29"/>
      <c r="B23" s="10" t="s">
        <v>75</v>
      </c>
      <c r="C23" s="11">
        <v>40</v>
      </c>
      <c r="D23" s="12">
        <f t="shared" si="0"/>
        <v>32.520325203252035</v>
      </c>
      <c r="E23" s="12">
        <f t="shared" si="1"/>
        <v>7.4796747967479646</v>
      </c>
      <c r="G23" s="13">
        <v>22</v>
      </c>
      <c r="H23" s="14" t="s">
        <v>76</v>
      </c>
      <c r="I23" s="18">
        <v>508037514</v>
      </c>
      <c r="K23" s="13">
        <v>22</v>
      </c>
      <c r="L23" s="16" t="s">
        <v>77</v>
      </c>
      <c r="M23" s="17">
        <v>289524121</v>
      </c>
      <c r="N23" s="17" t="s">
        <v>13</v>
      </c>
    </row>
    <row r="24" spans="1:14">
      <c r="A24" s="29"/>
      <c r="B24" s="10" t="s">
        <v>78</v>
      </c>
      <c r="C24" s="11">
        <v>35</v>
      </c>
      <c r="D24" s="12">
        <f t="shared" si="0"/>
        <v>28.45528455284553</v>
      </c>
      <c r="E24" s="12">
        <f t="shared" si="1"/>
        <v>6.54471544715447</v>
      </c>
      <c r="G24" s="13">
        <v>23</v>
      </c>
      <c r="H24" s="14" t="s">
        <v>79</v>
      </c>
      <c r="I24" s="15">
        <v>589053345</v>
      </c>
      <c r="K24" s="13">
        <v>23</v>
      </c>
      <c r="L24" s="16" t="s">
        <v>80</v>
      </c>
      <c r="M24" s="17">
        <v>273711148</v>
      </c>
      <c r="N24" s="17" t="s">
        <v>13</v>
      </c>
    </row>
    <row r="25" spans="1:14">
      <c r="A25" s="29"/>
      <c r="B25" s="10" t="s">
        <v>81</v>
      </c>
      <c r="C25" s="11">
        <v>20</v>
      </c>
      <c r="D25" s="12">
        <f t="shared" si="0"/>
        <v>16.260162601626018</v>
      </c>
      <c r="E25" s="12">
        <f t="shared" si="1"/>
        <v>3.7398373983739823</v>
      </c>
      <c r="G25" s="13">
        <v>24</v>
      </c>
      <c r="H25" s="14" t="s">
        <v>82</v>
      </c>
      <c r="I25" s="15">
        <v>514239085</v>
      </c>
      <c r="K25" s="13">
        <v>24</v>
      </c>
      <c r="L25" s="16" t="s">
        <v>83</v>
      </c>
      <c r="M25" s="17">
        <v>265052955</v>
      </c>
      <c r="N25" s="17" t="s">
        <v>13</v>
      </c>
    </row>
    <row r="26" spans="1:14">
      <c r="A26" s="29"/>
      <c r="B26" s="10" t="s">
        <v>84</v>
      </c>
      <c r="C26" s="11">
        <v>45</v>
      </c>
      <c r="D26" s="12">
        <f t="shared" si="0"/>
        <v>36.585365853658537</v>
      </c>
      <c r="E26" s="12">
        <f t="shared" si="1"/>
        <v>8.4146341463414629</v>
      </c>
      <c r="G26" s="13">
        <v>25</v>
      </c>
      <c r="H26" s="14" t="s">
        <v>85</v>
      </c>
      <c r="I26" s="15">
        <v>516206370</v>
      </c>
      <c r="K26" s="13">
        <v>25</v>
      </c>
      <c r="L26" s="16" t="s">
        <v>86</v>
      </c>
      <c r="M26" s="17">
        <v>279336055</v>
      </c>
      <c r="N26" s="17" t="s">
        <v>13</v>
      </c>
    </row>
    <row r="27" spans="1:14">
      <c r="A27" s="29"/>
      <c r="B27" s="10" t="s">
        <v>87</v>
      </c>
      <c r="C27" s="11">
        <v>50</v>
      </c>
      <c r="D27" s="12">
        <f t="shared" si="0"/>
        <v>40.650406504065039</v>
      </c>
      <c r="E27" s="12">
        <f t="shared" si="1"/>
        <v>9.3495934959349611</v>
      </c>
      <c r="G27" s="13">
        <v>26</v>
      </c>
      <c r="H27" s="14" t="s">
        <v>88</v>
      </c>
      <c r="I27" s="15" t="s">
        <v>89</v>
      </c>
      <c r="K27" s="13">
        <v>26</v>
      </c>
      <c r="L27" s="16" t="s">
        <v>90</v>
      </c>
      <c r="M27" s="17">
        <v>207109176</v>
      </c>
      <c r="N27" s="17" t="s">
        <v>13</v>
      </c>
    </row>
    <row r="28" spans="1:14">
      <c r="A28" s="30"/>
      <c r="B28" s="10" t="s">
        <v>91</v>
      </c>
      <c r="C28" s="11">
        <v>25</v>
      </c>
      <c r="D28" s="12">
        <f t="shared" si="0"/>
        <v>20.325203252032519</v>
      </c>
      <c r="E28" s="12">
        <f t="shared" si="1"/>
        <v>4.6747967479674806</v>
      </c>
      <c r="G28" s="13">
        <v>27</v>
      </c>
      <c r="H28" s="14" t="s">
        <v>92</v>
      </c>
      <c r="I28" s="15" t="s">
        <v>93</v>
      </c>
      <c r="K28" s="13">
        <v>27</v>
      </c>
      <c r="L28" s="16" t="s">
        <v>94</v>
      </c>
      <c r="M28" s="17">
        <v>299502309</v>
      </c>
      <c r="N28" s="17" t="s">
        <v>13</v>
      </c>
    </row>
    <row r="29" spans="1:14">
      <c r="A29" s="36"/>
      <c r="B29" s="37"/>
      <c r="C29" s="37"/>
      <c r="D29" s="22"/>
      <c r="E29" s="22"/>
      <c r="G29" s="13">
        <v>28</v>
      </c>
      <c r="H29" s="23" t="s">
        <v>95</v>
      </c>
      <c r="I29" s="15">
        <v>501766448</v>
      </c>
      <c r="K29" s="13">
        <v>28</v>
      </c>
      <c r="L29" s="16" t="s">
        <v>96</v>
      </c>
      <c r="M29" s="17">
        <v>254824498</v>
      </c>
      <c r="N29" s="17" t="s">
        <v>13</v>
      </c>
    </row>
    <row r="30" spans="1:14">
      <c r="A30" s="38" t="s">
        <v>97</v>
      </c>
      <c r="B30" s="10" t="s">
        <v>98</v>
      </c>
      <c r="C30" s="11">
        <v>15</v>
      </c>
      <c r="D30" s="12">
        <f t="shared" si="0"/>
        <v>12.195121951219512</v>
      </c>
      <c r="E30" s="12">
        <f t="shared" si="1"/>
        <v>2.8048780487804876</v>
      </c>
      <c r="G30" s="13">
        <v>29</v>
      </c>
      <c r="H30" s="14" t="s">
        <v>99</v>
      </c>
      <c r="I30" s="15">
        <v>510427103</v>
      </c>
      <c r="K30" s="13">
        <v>29</v>
      </c>
      <c r="L30" s="16" t="s">
        <v>100</v>
      </c>
      <c r="M30" s="17">
        <v>217579906</v>
      </c>
      <c r="N30" s="17" t="s">
        <v>13</v>
      </c>
    </row>
    <row r="31" spans="1:14">
      <c r="A31" s="39"/>
      <c r="B31" s="10" t="s">
        <v>101</v>
      </c>
      <c r="C31" s="11">
        <v>5</v>
      </c>
      <c r="D31" s="12">
        <f t="shared" si="0"/>
        <v>4.0650406504065044</v>
      </c>
      <c r="E31" s="12">
        <f t="shared" si="1"/>
        <v>0.93495934959349558</v>
      </c>
      <c r="G31" s="13">
        <v>30</v>
      </c>
      <c r="H31" s="14" t="s">
        <v>102</v>
      </c>
      <c r="I31" s="15" t="str">
        <f>+I28</f>
        <v>NP (não possui) NIF</v>
      </c>
      <c r="K31" s="13">
        <v>30</v>
      </c>
      <c r="L31" s="16" t="s">
        <v>103</v>
      </c>
      <c r="M31" s="17">
        <v>219082081</v>
      </c>
      <c r="N31" s="17" t="s">
        <v>104</v>
      </c>
    </row>
    <row r="32" spans="1:14">
      <c r="A32" s="40"/>
      <c r="B32" s="41"/>
      <c r="C32" s="41"/>
      <c r="D32" s="22"/>
      <c r="E32" s="22"/>
      <c r="G32" s="13">
        <v>31</v>
      </c>
      <c r="H32" s="14" t="s">
        <v>105</v>
      </c>
      <c r="I32" s="15">
        <v>504828576</v>
      </c>
      <c r="K32" s="13">
        <v>31</v>
      </c>
      <c r="L32" s="16" t="s">
        <v>106</v>
      </c>
      <c r="M32" s="17">
        <v>299763374</v>
      </c>
      <c r="N32" s="17" t="s">
        <v>104</v>
      </c>
    </row>
    <row r="33" spans="1:14">
      <c r="A33" s="28" t="s">
        <v>107</v>
      </c>
      <c r="B33" s="10" t="s">
        <v>108</v>
      </c>
      <c r="C33" s="11">
        <v>50</v>
      </c>
      <c r="D33" s="12">
        <f t="shared" si="0"/>
        <v>40.650406504065039</v>
      </c>
      <c r="E33" s="12">
        <f t="shared" si="1"/>
        <v>9.3495934959349611</v>
      </c>
      <c r="G33" s="13">
        <v>32</v>
      </c>
      <c r="H33" s="14" t="s">
        <v>109</v>
      </c>
      <c r="I33" s="15">
        <v>508855950</v>
      </c>
      <c r="K33" s="13">
        <v>32</v>
      </c>
      <c r="L33" s="16" t="s">
        <v>110</v>
      </c>
      <c r="M33" s="17">
        <v>250174332</v>
      </c>
      <c r="N33" s="17" t="s">
        <v>111</v>
      </c>
    </row>
    <row r="34" spans="1:14">
      <c r="A34" s="29"/>
      <c r="B34" s="10" t="s">
        <v>112</v>
      </c>
      <c r="C34" s="11">
        <v>35</v>
      </c>
      <c r="D34" s="12">
        <f t="shared" si="0"/>
        <v>28.45528455284553</v>
      </c>
      <c r="E34" s="12">
        <f t="shared" si="1"/>
        <v>6.54471544715447</v>
      </c>
      <c r="G34" s="13">
        <v>33</v>
      </c>
      <c r="H34" s="14" t="s">
        <v>113</v>
      </c>
      <c r="I34" s="15">
        <v>504615947</v>
      </c>
      <c r="K34" s="13">
        <v>33</v>
      </c>
      <c r="L34" s="16" t="s">
        <v>114</v>
      </c>
      <c r="M34" s="17">
        <v>248171240</v>
      </c>
      <c r="N34" s="17" t="s">
        <v>111</v>
      </c>
    </row>
    <row r="35" spans="1:14">
      <c r="A35" s="29"/>
      <c r="B35" s="10" t="s">
        <v>115</v>
      </c>
      <c r="C35" s="24">
        <v>20</v>
      </c>
      <c r="D35" s="12">
        <f t="shared" si="0"/>
        <v>16.260162601626018</v>
      </c>
      <c r="E35" s="12">
        <f t="shared" si="1"/>
        <v>3.7398373983739823</v>
      </c>
      <c r="G35" s="13">
        <v>34</v>
      </c>
      <c r="H35" s="14" t="s">
        <v>116</v>
      </c>
      <c r="I35" s="18">
        <v>505060515</v>
      </c>
      <c r="K35" s="13">
        <v>34</v>
      </c>
      <c r="L35" s="16" t="s">
        <v>117</v>
      </c>
      <c r="M35" s="17">
        <v>295931540</v>
      </c>
      <c r="N35" s="17" t="s">
        <v>118</v>
      </c>
    </row>
    <row r="36" spans="1:14">
      <c r="A36" s="29"/>
      <c r="B36" s="10" t="s">
        <v>119</v>
      </c>
      <c r="C36" s="24">
        <v>15</v>
      </c>
      <c r="D36" s="12">
        <f t="shared" si="0"/>
        <v>12.195121951219512</v>
      </c>
      <c r="E36" s="12">
        <f t="shared" si="1"/>
        <v>2.8048780487804876</v>
      </c>
      <c r="G36" s="13">
        <v>35</v>
      </c>
      <c r="H36" s="14" t="s">
        <v>120</v>
      </c>
      <c r="I36" s="15">
        <v>500246963</v>
      </c>
      <c r="K36" s="13">
        <v>35</v>
      </c>
      <c r="L36" s="16" t="s">
        <v>121</v>
      </c>
      <c r="M36" s="17">
        <v>252554620</v>
      </c>
      <c r="N36" s="17" t="s">
        <v>118</v>
      </c>
    </row>
    <row r="37" spans="1:14">
      <c r="A37" s="29"/>
      <c r="B37" s="10" t="s">
        <v>122</v>
      </c>
      <c r="C37" s="24">
        <v>30</v>
      </c>
      <c r="D37" s="12">
        <f t="shared" si="0"/>
        <v>24.390243902439025</v>
      </c>
      <c r="E37" s="12">
        <f t="shared" si="1"/>
        <v>5.6097560975609753</v>
      </c>
      <c r="G37" s="13">
        <v>36</v>
      </c>
      <c r="H37" s="14" t="s">
        <v>123</v>
      </c>
      <c r="I37" s="15">
        <v>320491366</v>
      </c>
      <c r="K37" s="13">
        <v>36</v>
      </c>
      <c r="L37" s="16" t="s">
        <v>124</v>
      </c>
      <c r="M37" s="17">
        <v>275536394</v>
      </c>
      <c r="N37" s="17" t="s">
        <v>125</v>
      </c>
    </row>
    <row r="38" spans="1:14">
      <c r="A38" s="30"/>
      <c r="B38" s="10" t="s">
        <v>126</v>
      </c>
      <c r="C38" s="24">
        <v>10</v>
      </c>
      <c r="D38" s="12">
        <f t="shared" si="0"/>
        <v>8.1300813008130088</v>
      </c>
      <c r="E38" s="12">
        <f t="shared" si="1"/>
        <v>1.8699186991869912</v>
      </c>
      <c r="G38" s="13">
        <v>37</v>
      </c>
      <c r="H38" s="14" t="s">
        <v>127</v>
      </c>
      <c r="I38" s="15">
        <v>513412417</v>
      </c>
      <c r="K38" s="13">
        <v>37</v>
      </c>
      <c r="L38" s="16" t="s">
        <v>128</v>
      </c>
      <c r="M38" s="17">
        <v>231413882</v>
      </c>
      <c r="N38" s="17" t="s">
        <v>125</v>
      </c>
    </row>
    <row r="39" spans="1:14">
      <c r="G39" s="13">
        <v>38</v>
      </c>
      <c r="H39" s="14" t="s">
        <v>129</v>
      </c>
      <c r="I39" s="15" t="str">
        <f>+I31</f>
        <v>NP (não possui) NIF</v>
      </c>
      <c r="K39" s="13">
        <v>38</v>
      </c>
      <c r="L39" s="16" t="s">
        <v>130</v>
      </c>
      <c r="M39" s="17">
        <v>275469727</v>
      </c>
      <c r="N39" s="17" t="s">
        <v>131</v>
      </c>
    </row>
    <row r="40" spans="1:14">
      <c r="G40" s="13">
        <v>39</v>
      </c>
      <c r="H40" s="23" t="s">
        <v>132</v>
      </c>
      <c r="I40" s="15">
        <v>503629995</v>
      </c>
      <c r="K40" s="13">
        <v>39</v>
      </c>
      <c r="L40" s="16" t="s">
        <v>133</v>
      </c>
      <c r="M40" s="17">
        <v>228145651</v>
      </c>
      <c r="N40" s="17" t="s">
        <v>131</v>
      </c>
    </row>
    <row r="41" spans="1:14">
      <c r="G41" s="25">
        <v>40</v>
      </c>
      <c r="H41" s="26" t="s">
        <v>134</v>
      </c>
      <c r="I41" s="27">
        <v>500785708</v>
      </c>
      <c r="K41" s="13">
        <v>40</v>
      </c>
      <c r="L41" s="16" t="s">
        <v>135</v>
      </c>
      <c r="M41" s="17">
        <v>261207890</v>
      </c>
      <c r="N41" s="17" t="s">
        <v>136</v>
      </c>
    </row>
    <row r="42" spans="1:14">
      <c r="G42" s="14">
        <v>41</v>
      </c>
      <c r="H42" s="14" t="s">
        <v>123</v>
      </c>
      <c r="I42" s="15">
        <v>285284240</v>
      </c>
      <c r="K42" s="13">
        <v>41</v>
      </c>
      <c r="L42" s="16" t="s">
        <v>137</v>
      </c>
      <c r="M42" s="17">
        <v>287024350</v>
      </c>
      <c r="N42" s="17" t="s">
        <v>136</v>
      </c>
    </row>
    <row r="43" spans="1:14">
      <c r="G43" s="14">
        <v>42</v>
      </c>
      <c r="H43" s="14" t="s">
        <v>138</v>
      </c>
      <c r="I43" s="15">
        <v>200846922</v>
      </c>
      <c r="K43" s="13">
        <v>42</v>
      </c>
      <c r="L43" s="16" t="s">
        <v>139</v>
      </c>
      <c r="M43" s="17">
        <v>258735082</v>
      </c>
      <c r="N43" s="17" t="s">
        <v>140</v>
      </c>
    </row>
    <row r="44" spans="1:14">
      <c r="G44" s="14"/>
      <c r="H44" s="14" t="s">
        <v>141</v>
      </c>
      <c r="I44" s="14">
        <v>513321527</v>
      </c>
      <c r="K44" s="13">
        <v>43</v>
      </c>
      <c r="L44" s="16" t="s">
        <v>142</v>
      </c>
      <c r="M44" s="17">
        <v>244808929</v>
      </c>
      <c r="N44" s="17" t="s">
        <v>140</v>
      </c>
    </row>
    <row r="45" spans="1:14">
      <c r="K45" s="13">
        <v>44</v>
      </c>
      <c r="L45" s="16" t="s">
        <v>143</v>
      </c>
      <c r="M45" s="17">
        <v>264883268</v>
      </c>
      <c r="N45" s="17" t="s">
        <v>144</v>
      </c>
    </row>
    <row r="46" spans="1:14">
      <c r="K46" s="13">
        <v>45</v>
      </c>
      <c r="L46" s="16" t="s">
        <v>145</v>
      </c>
      <c r="M46" s="17">
        <v>254736130</v>
      </c>
      <c r="N46" s="17" t="s">
        <v>144</v>
      </c>
    </row>
    <row r="47" spans="1:14">
      <c r="K47" s="13">
        <v>46</v>
      </c>
      <c r="L47" s="16" t="s">
        <v>146</v>
      </c>
      <c r="M47" s="17">
        <v>277691400</v>
      </c>
      <c r="N47" s="17" t="s">
        <v>144</v>
      </c>
    </row>
    <row r="48" spans="1:14">
      <c r="K48" s="13">
        <v>47</v>
      </c>
      <c r="L48" s="16" t="s">
        <v>147</v>
      </c>
      <c r="M48" s="17">
        <v>234560657</v>
      </c>
      <c r="N48" s="17" t="s">
        <v>148</v>
      </c>
    </row>
    <row r="49" spans="11:14">
      <c r="K49" s="13">
        <v>48</v>
      </c>
      <c r="L49" s="16" t="s">
        <v>149</v>
      </c>
      <c r="M49" s="17">
        <v>269836870</v>
      </c>
      <c r="N49" s="17" t="s">
        <v>148</v>
      </c>
    </row>
    <row r="50" spans="11:14">
      <c r="K50" s="13">
        <v>49</v>
      </c>
      <c r="L50" s="16" t="s">
        <v>150</v>
      </c>
      <c r="M50" s="17">
        <v>232060649</v>
      </c>
      <c r="N50" s="17" t="s">
        <v>148</v>
      </c>
    </row>
    <row r="51" spans="11:14">
      <c r="K51" s="13">
        <v>50</v>
      </c>
      <c r="L51" s="16" t="s">
        <v>151</v>
      </c>
      <c r="M51" s="17">
        <v>243526512</v>
      </c>
      <c r="N51" s="17" t="s">
        <v>104</v>
      </c>
    </row>
    <row r="52" spans="11:14">
      <c r="K52" s="13">
        <v>51</v>
      </c>
      <c r="L52" s="16" t="s">
        <v>152</v>
      </c>
      <c r="M52" s="17">
        <v>203624513</v>
      </c>
      <c r="N52" s="17" t="s">
        <v>104</v>
      </c>
    </row>
    <row r="53" spans="11:14">
      <c r="K53" s="13">
        <v>52</v>
      </c>
      <c r="L53" s="16" t="s">
        <v>153</v>
      </c>
      <c r="M53" s="17">
        <v>245056220</v>
      </c>
      <c r="N53" s="17" t="s">
        <v>111</v>
      </c>
    </row>
    <row r="54" spans="11:14">
      <c r="K54" s="13">
        <v>53</v>
      </c>
      <c r="L54" s="16" t="s">
        <v>154</v>
      </c>
      <c r="M54" s="17">
        <v>281021970</v>
      </c>
      <c r="N54" s="17" t="s">
        <v>111</v>
      </c>
    </row>
    <row r="55" spans="11:14">
      <c r="K55" s="13">
        <v>54</v>
      </c>
      <c r="L55" s="16" t="s">
        <v>155</v>
      </c>
      <c r="M55" s="17">
        <v>248193848</v>
      </c>
      <c r="N55" s="17" t="s">
        <v>118</v>
      </c>
    </row>
    <row r="56" spans="11:14">
      <c r="K56" s="13">
        <v>55</v>
      </c>
      <c r="L56" s="16" t="s">
        <v>156</v>
      </c>
      <c r="M56" s="17">
        <v>241834961</v>
      </c>
      <c r="N56" s="17" t="s">
        <v>118</v>
      </c>
    </row>
    <row r="57" spans="11:14">
      <c r="K57" s="13">
        <v>56</v>
      </c>
      <c r="L57" s="16" t="s">
        <v>157</v>
      </c>
      <c r="M57" s="17">
        <v>299343049</v>
      </c>
      <c r="N57" s="17" t="s">
        <v>125</v>
      </c>
    </row>
    <row r="58" spans="11:14">
      <c r="K58" s="13">
        <v>57</v>
      </c>
      <c r="L58" s="16" t="s">
        <v>158</v>
      </c>
      <c r="M58" s="17">
        <v>291337392</v>
      </c>
      <c r="N58" s="17" t="s">
        <v>131</v>
      </c>
    </row>
    <row r="59" spans="11:14">
      <c r="K59" s="13">
        <v>58</v>
      </c>
      <c r="L59" s="16" t="s">
        <v>159</v>
      </c>
      <c r="M59" s="17">
        <v>250412365</v>
      </c>
      <c r="N59" s="17" t="s">
        <v>131</v>
      </c>
    </row>
    <row r="60" spans="11:14">
      <c r="K60" s="13">
        <v>59</v>
      </c>
      <c r="L60" s="16" t="s">
        <v>160</v>
      </c>
      <c r="M60" s="17">
        <v>211275859</v>
      </c>
      <c r="N60" s="17" t="s">
        <v>136</v>
      </c>
    </row>
    <row r="61" spans="11:14">
      <c r="K61" s="13">
        <v>60</v>
      </c>
      <c r="L61" s="16" t="s">
        <v>161</v>
      </c>
      <c r="M61" s="17">
        <v>221393366</v>
      </c>
      <c r="N61" s="17" t="s">
        <v>144</v>
      </c>
    </row>
    <row r="62" spans="11:14">
      <c r="K62" s="13">
        <v>61</v>
      </c>
      <c r="L62" s="16" t="s">
        <v>162</v>
      </c>
      <c r="M62" s="17">
        <v>266255264</v>
      </c>
      <c r="N62" s="17" t="s">
        <v>144</v>
      </c>
    </row>
    <row r="63" spans="11:14">
      <c r="K63" s="13">
        <v>62</v>
      </c>
      <c r="L63" s="16" t="s">
        <v>163</v>
      </c>
      <c r="M63" s="17">
        <v>255884117</v>
      </c>
      <c r="N63" s="17" t="s">
        <v>144</v>
      </c>
    </row>
    <row r="64" spans="11:14">
      <c r="K64" s="13">
        <v>63</v>
      </c>
      <c r="L64" s="16" t="s">
        <v>164</v>
      </c>
      <c r="M64" s="17">
        <v>259591696</v>
      </c>
      <c r="N64" s="17" t="s">
        <v>118</v>
      </c>
    </row>
    <row r="65" spans="11:14">
      <c r="K65" s="13">
        <v>64</v>
      </c>
      <c r="L65" s="16" t="s">
        <v>165</v>
      </c>
      <c r="M65" s="17">
        <v>261930966</v>
      </c>
      <c r="N65" s="17" t="s">
        <v>125</v>
      </c>
    </row>
    <row r="66" spans="11:14">
      <c r="K66" s="13">
        <v>65</v>
      </c>
      <c r="L66" s="16" t="s">
        <v>166</v>
      </c>
      <c r="M66" s="17">
        <v>273038273</v>
      </c>
      <c r="N66" s="17" t="s">
        <v>104</v>
      </c>
    </row>
  </sheetData>
  <mergeCells count="7">
    <mergeCell ref="A33:A38"/>
    <mergeCell ref="A1:B1"/>
    <mergeCell ref="A2:A17"/>
    <mergeCell ref="A18:A28"/>
    <mergeCell ref="A29:C29"/>
    <mergeCell ref="A30:A31"/>
    <mergeCell ref="A32:C32"/>
  </mergeCells>
  <hyperlinks>
    <hyperlink ref="I3" r:id="rId1" display="503 630 330. [1]" xr:uid="{83731E0B-1095-438C-95C8-568E82A17032}"/>
    <hyperlink ref="I22" r:id="rId2" display="518 530 752. [1]" xr:uid="{5F8107AC-7ADA-4E9F-ACBE-C7C12FC22B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Utilizador Convidado</cp:lastModifiedBy>
  <cp:revision/>
  <dcterms:created xsi:type="dcterms:W3CDTF">2026-08-12T07:55:00Z</dcterms:created>
  <dcterms:modified xsi:type="dcterms:W3CDTF">2026-09-08T09:44:24Z</dcterms:modified>
  <cp:category/>
  <cp:contentStatus/>
</cp:coreProperties>
</file>