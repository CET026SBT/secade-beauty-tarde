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pinto/Desktop/"/>
    </mc:Choice>
  </mc:AlternateContent>
  <xr:revisionPtr revIDLastSave="86" documentId="13_ncr:1_{560BC59F-A240-0A42-A243-EB6EB8EBC393}" xr6:coauthVersionLast="47" xr6:coauthVersionMax="47" xr10:uidLastSave="{DDC5726A-444A-4A78-9BD0-58E11027E1B6}"/>
  <bookViews>
    <workbookView xWindow="0" yWindow="660" windowWidth="30240" windowHeight="17440" xr2:uid="{00000000-000D-0000-FFFF-FFFF00000000}"/>
  </bookViews>
  <sheets>
    <sheet name="Folh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K9" i="2"/>
  <c r="D3" i="2"/>
  <c r="H8" i="2"/>
  <c r="H3" i="2"/>
  <c r="H4" i="2"/>
  <c r="H7" i="2"/>
  <c r="H6" i="2"/>
  <c r="H5" i="2"/>
  <c r="F3" i="2"/>
  <c r="I3" i="2"/>
  <c r="I9" i="2"/>
  <c r="H9" i="2"/>
  <c r="F9" i="2"/>
  <c r="J9" i="2" s="1"/>
  <c r="J6" i="2"/>
  <c r="J7" i="2"/>
  <c r="J8" i="2"/>
  <c r="J5" i="2"/>
  <c r="J4" i="2"/>
  <c r="J3" i="2"/>
  <c r="I8" i="2"/>
  <c r="I6" i="2"/>
  <c r="I7" i="2"/>
  <c r="G3" i="2"/>
  <c r="G9" i="2" s="1"/>
  <c r="D4" i="2"/>
  <c r="D5" i="2"/>
  <c r="D6" i="2"/>
  <c r="D7" i="2"/>
  <c r="D8" i="2"/>
  <c r="G8" i="2"/>
  <c r="G6" i="2"/>
  <c r="G7" i="2"/>
  <c r="F8" i="2"/>
  <c r="F6" i="2"/>
  <c r="F7" i="2"/>
  <c r="F4" i="2"/>
  <c r="F5" i="2"/>
  <c r="H14" i="2" l="1"/>
  <c r="H13" i="2"/>
  <c r="G5" i="2"/>
  <c r="I5" i="2"/>
  <c r="I4" i="2"/>
  <c r="G4" i="2"/>
  <c r="H12" i="2"/>
</calcChain>
</file>

<file path=xl/sharedStrings.xml><?xml version="1.0" encoding="utf-8"?>
<sst xmlns="http://schemas.openxmlformats.org/spreadsheetml/2006/main" count="12" uniqueCount="9">
  <si>
    <t>remuneração</t>
  </si>
  <si>
    <t xml:space="preserve">SA </t>
  </si>
  <si>
    <t>n meses</t>
  </si>
  <si>
    <t>REMUNERAÇÃO</t>
  </si>
  <si>
    <t>IRS</t>
  </si>
  <si>
    <t>SS 11</t>
  </si>
  <si>
    <t>SS 23,75</t>
  </si>
  <si>
    <t>PAGAR AO PESSOAL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</si>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</sst>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 * #,##0.00_)\ &quot;€&quot;_ ;_ * \(#,##0.00\)\ &quot;€&quot;_ ;_ * &quot;-&quot;??_)\ &quot;€&quot;_ ;_ @_ "/>
  </numFmts>
  <fonts count="2">
    <font>
      <sz val="11"/>
      <name val="Arial"/>
      <family val="1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4" fontId="0" fillId="0" borderId="0" xfId="1" applyFont="1"/>
    <xf numFmtId="164" fontId="0" fillId="0" borderId="1" xfId="1" applyFont="1" applyBorder="1"/>
    <xf numFmtId="164" fontId="0" fillId="0" borderId="1" xfId="0" applyNumberFormat="1" applyBorder="1"/>
    <xf numFmtId="44" fontId="0" fillId="0" borderId="0" xfId="0" applyNumberFormat="1"/>
    <xf numFmtId="44" fontId="0" fillId="0" borderId="0" xfId="0" applyNumberFormat="1" applyAlignment="1">
      <alignment horizontal="left" vertical="top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32A7-8D04-8B4D-A55E-F5174F1F494C}">
  <dimension ref="C2:K18"/>
  <sheetViews>
    <sheetView tabSelected="1" workbookViewId="0">
      <selection activeCell="D19" sqref="D19"/>
    </sheetView>
  </sheetViews>
  <sheetFormatPr defaultColWidth="11" defaultRowHeight="14.1"/>
  <cols>
    <col min="3" max="3" width="11.5" bestFit="1" customWidth="1"/>
    <col min="5" max="5" width="12.5" bestFit="1" customWidth="1"/>
    <col min="6" max="7" width="15.625" bestFit="1" customWidth="1"/>
    <col min="8" max="8" width="12.5" bestFit="1" customWidth="1"/>
    <col min="9" max="9" width="11.5" bestFit="1" customWidth="1"/>
    <col min="10" max="10" width="12.5" bestFit="1" customWidth="1"/>
    <col min="11" max="11" width="19.625" bestFit="1" customWidth="1"/>
  </cols>
  <sheetData>
    <row r="2" spans="3:11"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5</v>
      </c>
      <c r="J2" t="s">
        <v>6</v>
      </c>
      <c r="K2" t="s">
        <v>7</v>
      </c>
    </row>
    <row r="3" spans="3:11">
      <c r="C3" s="2">
        <v>1200</v>
      </c>
      <c r="D3">
        <f>129.15*3</f>
        <v>387.45000000000005</v>
      </c>
      <c r="E3">
        <v>3</v>
      </c>
      <c r="F3" s="2">
        <f>C3*E3</f>
        <v>3600</v>
      </c>
      <c r="G3" s="1">
        <f>F3+D3</f>
        <v>3987.45</v>
      </c>
      <c r="H3" s="5">
        <f>+F3*0.08</f>
        <v>288</v>
      </c>
      <c r="I3" s="1">
        <f>F3*0.11</f>
        <v>396</v>
      </c>
      <c r="J3" s="1">
        <f>F3*0.2375</f>
        <v>855</v>
      </c>
      <c r="K3" s="1"/>
    </row>
    <row r="4" spans="3:11">
      <c r="C4" s="2">
        <v>1200</v>
      </c>
      <c r="D4">
        <f t="shared" ref="D4:D8" si="0">129.15*3</f>
        <v>387.45000000000005</v>
      </c>
      <c r="E4">
        <v>3</v>
      </c>
      <c r="F4" s="2">
        <f>C4*E4</f>
        <v>3600</v>
      </c>
      <c r="G4" s="1">
        <f t="shared" ref="G4" si="1">F4+D4</f>
        <v>3987.45</v>
      </c>
      <c r="H4" s="5">
        <f>+F4*0.08</f>
        <v>288</v>
      </c>
      <c r="I4" s="1">
        <f t="shared" ref="I4:I8" si="2">F4*0.11</f>
        <v>396</v>
      </c>
      <c r="J4" s="1">
        <f>F4*0.2375</f>
        <v>855</v>
      </c>
    </row>
    <row r="5" spans="3:11">
      <c r="C5" s="2">
        <v>1000</v>
      </c>
      <c r="D5">
        <f t="shared" si="0"/>
        <v>387.45000000000005</v>
      </c>
      <c r="E5">
        <v>3</v>
      </c>
      <c r="F5" s="2">
        <f>C5*E5</f>
        <v>3000</v>
      </c>
      <c r="G5" s="1">
        <f>F5+D5</f>
        <v>3387.45</v>
      </c>
      <c r="H5" s="5">
        <f>+F5*3.6%</f>
        <v>108.00000000000001</v>
      </c>
      <c r="I5" s="1">
        <f t="shared" si="2"/>
        <v>330</v>
      </c>
      <c r="J5" s="1">
        <f>F5*0.2375</f>
        <v>712.5</v>
      </c>
    </row>
    <row r="6" spans="3:11">
      <c r="C6" s="2">
        <v>1000</v>
      </c>
      <c r="D6">
        <f t="shared" si="0"/>
        <v>387.45000000000005</v>
      </c>
      <c r="E6">
        <v>3</v>
      </c>
      <c r="F6" s="2">
        <f t="shared" ref="F6:F8" si="3">C6*E6</f>
        <v>3000</v>
      </c>
      <c r="G6" s="1">
        <f t="shared" ref="G6:G8" si="4">F6+D6</f>
        <v>3387.45</v>
      </c>
      <c r="H6" s="5">
        <f>+F6*3.6%</f>
        <v>108.00000000000001</v>
      </c>
      <c r="I6" s="1">
        <f t="shared" si="2"/>
        <v>330</v>
      </c>
      <c r="J6" s="1">
        <f t="shared" ref="J6:J8" si="5">F6*0.2375</f>
        <v>712.5</v>
      </c>
    </row>
    <row r="7" spans="3:11" ht="14.25">
      <c r="C7" s="6">
        <v>1000</v>
      </c>
      <c r="D7">
        <f t="shared" si="0"/>
        <v>387.45000000000005</v>
      </c>
      <c r="E7">
        <v>3</v>
      </c>
      <c r="F7" s="2">
        <f t="shared" si="3"/>
        <v>3000</v>
      </c>
      <c r="G7" s="1">
        <f t="shared" si="4"/>
        <v>3387.45</v>
      </c>
      <c r="H7" s="5">
        <f>+F7*3.6%</f>
        <v>108.00000000000001</v>
      </c>
      <c r="I7" s="1">
        <f t="shared" si="2"/>
        <v>330</v>
      </c>
      <c r="J7" s="1">
        <f t="shared" si="5"/>
        <v>712.5</v>
      </c>
    </row>
    <row r="8" spans="3:11" ht="14.25">
      <c r="C8" s="6">
        <v>1250</v>
      </c>
      <c r="D8">
        <f t="shared" si="0"/>
        <v>387.45000000000005</v>
      </c>
      <c r="E8">
        <v>3</v>
      </c>
      <c r="F8" s="2">
        <f>C8*E8</f>
        <v>3750</v>
      </c>
      <c r="G8" s="1">
        <f>F8+D8</f>
        <v>4137.45</v>
      </c>
      <c r="H8" s="5">
        <f>+F8*8.56%</f>
        <v>321.00000000000006</v>
      </c>
      <c r="I8" s="1">
        <f>F8*0.11</f>
        <v>412.5</v>
      </c>
      <c r="J8" s="1">
        <f t="shared" si="5"/>
        <v>890.625</v>
      </c>
    </row>
    <row r="9" spans="3:11">
      <c r="F9" s="2">
        <f>F3+F4+F5+F6+F7+F8</f>
        <v>19950</v>
      </c>
      <c r="G9" s="3">
        <f>G3+G4+G5+G6+G7+G8</f>
        <v>22274.7</v>
      </c>
      <c r="H9" s="4">
        <f>H3+H4+H5+H6+H7+H8</f>
        <v>1221</v>
      </c>
      <c r="I9" s="4">
        <f>I3+I4+I5+I6+I7+I8</f>
        <v>2194.5</v>
      </c>
      <c r="J9" s="4">
        <f>F9*0.2375</f>
        <v>4738.125</v>
      </c>
      <c r="K9" s="4">
        <f>G9-H9-I9</f>
        <v>18859.2</v>
      </c>
    </row>
    <row r="10" spans="3:11">
      <c r="K10" s="1"/>
    </row>
    <row r="12" spans="3:11">
      <c r="G12" t="s">
        <v>3</v>
      </c>
      <c r="H12" s="1">
        <f>G9</f>
        <v>22274.7</v>
      </c>
    </row>
    <row r="13" spans="3:11">
      <c r="G13" t="s">
        <v>4</v>
      </c>
      <c r="H13" s="1">
        <f>H9</f>
        <v>1221</v>
      </c>
    </row>
    <row r="14" spans="3:11">
      <c r="G14" t="s">
        <v>8</v>
      </c>
      <c r="H14" s="1">
        <f>I9+J9</f>
        <v>6932.625</v>
      </c>
    </row>
    <row r="18" spans="4:4">
      <c r="D18" s="5">
        <f>1221.5-1189</f>
        <v>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Toconline</dc:creator>
  <cp:keywords/>
  <dc:description/>
  <cp:lastModifiedBy>DELFINA BENJAMIM</cp:lastModifiedBy>
  <cp:revision/>
  <dcterms:created xsi:type="dcterms:W3CDTF">2021-02-24T15:08:15Z</dcterms:created>
  <dcterms:modified xsi:type="dcterms:W3CDTF">2026-09-23T21:44:08Z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2020-02-19T14:16:53Z</dcterms:created>
  <dc:creator>axlsx</dc:creator>
  <cp:revision>0</cp:revision>
</cp:coreProperties>
</file>